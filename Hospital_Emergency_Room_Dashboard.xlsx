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EXCEL\Hospital_data\"/>
    </mc:Choice>
  </mc:AlternateContent>
  <xr:revisionPtr revIDLastSave="0" documentId="8_{420EC5FE-0907-47CF-8401-BC06EF8AC776}" xr6:coauthVersionLast="47" xr6:coauthVersionMax="47" xr10:uidLastSave="{00000000-0000-0000-0000-000000000000}"/>
  <bookViews>
    <workbookView xWindow="-108" yWindow="-108" windowWidth="23256" windowHeight="12456" tabRatio="880" activeTab="1" xr2:uid="{1BAA78A3-C8E0-45F1-AAF6-145252160D9B}"/>
  </bookViews>
  <sheets>
    <sheet name="Pivot Report" sheetId="1" r:id="rId1"/>
    <sheet name="Dashboard" sheetId="3" r:id="rId2"/>
    <sheet name="Sheet1" sheetId="10" state="hidden" r:id="rId3"/>
    <sheet name="Every Day Patient Count" sheetId="6" r:id="rId4"/>
    <sheet name="Patient Avg Wait-Time" sheetId="7" r:id="rId5"/>
    <sheet name="Satisfaction Score" sheetId="9" r:id="rId6"/>
  </sheets>
  <definedNames>
    <definedName name="Slicer_Date__Month1">#N/A</definedName>
    <definedName name="Slicer_Date__Year">#N/A</definedName>
  </definedNames>
  <calcPr calcId="191029"/>
  <pivotCaches>
    <pivotCache cacheId="143" r:id="rId7"/>
    <pivotCache cacheId="146" r:id="rId8"/>
    <pivotCache cacheId="149" r:id="rId9"/>
    <pivotCache cacheId="152" r:id="rId10"/>
    <pivotCache cacheId="155" r:id="rId11"/>
    <pivotCache cacheId="158" r:id="rId12"/>
    <pivotCache cacheId="161" r:id="rId13"/>
    <pivotCache cacheId="164" r:id="rId14"/>
    <pivotCache cacheId="167" r:id="rId15"/>
    <pivotCache cacheId="170" r:id="rId16"/>
    <pivotCache cacheId="173" r:id="rId17"/>
    <pivotCache cacheId="176" r:id="rId18"/>
    <pivotCache cacheId="179" r:id="rId19"/>
    <pivotCache cacheId="182"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_7a2c02af-407f-4f1f-a96a-aea7271cb02b" name="Hospital_Emergency_Room_Data" connection="Query - Hospital_Emergency_Room_Data"/>
          <x15:modelTable id="Calander Table_b5a4eddd-8e69-4807-892e-64815d9e2c29" name="Calander Table" connection="Query - Calander Table"/>
        </x15:modelTables>
        <x15:modelRelationships>
          <x15:modelRelationship fromTable="Hospital_Emergency_Room_Data" fromColumn="Patient Admission Date" toTable="Calander Table" toColumn="Date"/>
        </x15:modelRelationships>
        <x15:extLst>
          <ext xmlns:x16="http://schemas.microsoft.com/office/spreadsheetml/2014/11/main" uri="{9835A34E-60A6-4A7C-AAB8-D5F71C897F49}">
            <x16:modelTimeGroupings>
              <x16:modelTimeGrouping tableName="Cala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1" l="1"/>
  <c r="O7" i="1"/>
  <c r="O31" i="1"/>
  <c r="O30" i="1"/>
  <c r="R21" i="1"/>
  <c r="R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EB49FB-E6DB-4966-A1CC-3D60D1F7E418}" name="Query - Calander Table" description="Connection to the 'Calander Table' query in the workbook." type="100" refreshedVersion="8" minRefreshableVersion="5">
    <extLst>
      <ext xmlns:x15="http://schemas.microsoft.com/office/spreadsheetml/2010/11/main" uri="{DE250136-89BD-433C-8126-D09CA5730AF9}">
        <x15:connection id="9070b1c0-35e6-4400-b0e1-b8a8d8af2f06"/>
      </ext>
    </extLst>
  </connection>
  <connection id="2" xr16:uid="{CDD31095-BB9B-4003-A86D-94F6A68A73C5}" name="Query - Hospital_Emergency_Room_Data" description="Connection to the 'Hospital_Emergency_Room_Data' query in the workbook." type="100" refreshedVersion="8" minRefreshableVersion="5">
    <extLst>
      <ext xmlns:x15="http://schemas.microsoft.com/office/spreadsheetml/2010/11/main" uri="{DE250136-89BD-433C-8126-D09CA5730AF9}">
        <x15:connection id="cf3bfe0c-a087-4f61-ac40-709b0872e8a4"/>
      </ext>
    </extLst>
  </connection>
  <connection id="3" xr16:uid="{12C1E415-A1AA-4260-AE75-B792E010553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<sst xmlns="http://schemas.openxmlformats.org/spreadsheetml/2006/main" count="201" uniqueCount="80">
  <si>
    <t>Distinct Count of Patient Id</t>
  </si>
  <si>
    <t>Average of Patient Waittime</t>
  </si>
  <si>
    <t>Average of Patient Satisfaction Score</t>
  </si>
  <si>
    <t>Row Labels</t>
  </si>
  <si>
    <t>Grand Total</t>
  </si>
  <si>
    <t>Count of Patient Attend Status</t>
  </si>
  <si>
    <t>Count of Patient Admission Time</t>
  </si>
  <si>
    <t>avg waittime chart</t>
  </si>
  <si>
    <t>avg waittime Card</t>
  </si>
  <si>
    <t>No.of Patients Cart</t>
  </si>
  <si>
    <t>Patient Satisfaction score card</t>
  </si>
  <si>
    <t>Patient Satisfaction score chart</t>
  </si>
  <si>
    <t>No.of Patients chart</t>
  </si>
  <si>
    <t>Count of Patient Admission Flag</t>
  </si>
  <si>
    <t>Admitted</t>
  </si>
  <si>
    <t>Not Admitted</t>
  </si>
  <si>
    <t>Count of Patient Id</t>
  </si>
  <si>
    <t>0 - 09</t>
  </si>
  <si>
    <t>10-19</t>
  </si>
  <si>
    <t>20-29</t>
  </si>
  <si>
    <t>30-39</t>
  </si>
  <si>
    <t>40-49</t>
  </si>
  <si>
    <t>50-59</t>
  </si>
  <si>
    <t>60-69</t>
  </si>
  <si>
    <t>70-79</t>
  </si>
  <si>
    <t>Count of Age Group</t>
  </si>
  <si>
    <t>patient by Age Group</t>
  </si>
  <si>
    <t>On-Time</t>
  </si>
  <si>
    <t>Delay</t>
  </si>
  <si>
    <t>Patient Attent Within Time</t>
  </si>
  <si>
    <t xml:space="preserve">On-Time </t>
  </si>
  <si>
    <t xml:space="preserve">Delay </t>
  </si>
  <si>
    <t>Female</t>
  </si>
  <si>
    <t>Male</t>
  </si>
  <si>
    <t>Count of Patient Gender</t>
  </si>
  <si>
    <t xml:space="preserve">Patient By Gender </t>
  </si>
  <si>
    <t>Cardiology</t>
  </si>
  <si>
    <t>Gastroenterology</t>
  </si>
  <si>
    <t>General Practice</t>
  </si>
  <si>
    <t>Neurology</t>
  </si>
  <si>
    <t>None</t>
  </si>
  <si>
    <t>Orthopedics</t>
  </si>
  <si>
    <t>Physiotherapy</t>
  </si>
  <si>
    <t>Renal</t>
  </si>
  <si>
    <t>Count of Department Referral</t>
  </si>
  <si>
    <t>Department Referral</t>
  </si>
  <si>
    <t>min</t>
  </si>
  <si>
    <t>2024</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</si>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</sst>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sz val="8"/>
      <name val="Calibri"/>
      <family val="2"/>
      <scheme val="minor"/>
    </font>
    <font>
      <sz val="11"/>
      <color theme="1" tint="0.249977111117893"/>
      <name val="Calibri"/>
      <family val="2"/>
      <scheme val="minor"/>
    </font>
    <font>
      <sz val="11"/>
      <color theme="1"/>
      <name val="Calibri"/>
      <family val="2"/>
      <scheme val="minor"/>
    </font>
    <font>
      <sz val="11"/>
      <color theme="1"/>
      <name val="Segoe UI Semibold"/>
      <family val="2"/>
    </font>
    <font>
      <b/>
      <sz val="11"/>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2" fillId="3" borderId="0" xfId="0" applyFont="1" applyFill="1"/>
    <xf numFmtId="9" fontId="0" fillId="0" borderId="0" xfId="1" applyFont="1"/>
    <xf numFmtId="0" fontId="4" fillId="0" borderId="0" xfId="0" applyFont="1"/>
    <xf numFmtId="0" fontId="5" fillId="0" borderId="0" xfId="0" applyFont="1" applyAlignment="1">
      <alignment horizontal="left"/>
    </xf>
    <xf numFmtId="0" fontId="5" fillId="0" borderId="0" xfId="0" applyFont="1"/>
    <xf numFmtId="0" fontId="0" fillId="0" borderId="0" xfId="0" applyNumberFormat="1"/>
  </cellXfs>
  <cellStyles count="2">
    <cellStyle name="Normal" xfId="0" builtinId="0"/>
    <cellStyle name="Percent" xfId="1" builtinId="5"/>
  </cellStyles>
  <dxfs count="25">
    <dxf>
      <numFmt numFmtId="2" formatCode="0.00"/>
    </dxf>
    <dxf>
      <numFmt numFmtId="2" formatCode="0.00"/>
    </dxf>
    <dxf>
      <numFmt numFmtId="164" formatCode="0.0"/>
    </dxf>
    <dxf>
      <numFmt numFmtId="165" formatCode="0.0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65" formatCode="0.0000"/>
    </dxf>
    <dxf>
      <numFmt numFmtId="2" formatCode="0.00"/>
    </dxf>
    <dxf>
      <numFmt numFmtId="2" formatCode="0.00"/>
    </dxf>
    <dxf>
      <numFmt numFmtId="2" formatCode="0.00"/>
    </dxf>
    <dxf>
      <numFmt numFmtId="2" formatCode="0.00"/>
    </dxf>
    <dxf>
      <numFmt numFmtId="164" formatCode="0.0"/>
    </dxf>
    <dxf>
      <numFmt numFmtId="2" formatCode="0.00"/>
    </dxf>
    <dxf>
      <numFmt numFmtId="165" formatCode="0.0000"/>
    </dxf>
    <dxf>
      <numFmt numFmtId="2" formatCode="0.00"/>
    </dxf>
    <dxf>
      <numFmt numFmtId="2" formatCode="0.00"/>
    </dxf>
    <dxf>
      <border diagonalUp="0" diagonalDown="0">
        <left style="thin">
          <color auto="1"/>
        </left>
        <right style="thin">
          <color auto="1"/>
        </right>
        <top style="thin">
          <color auto="1"/>
        </top>
        <bottom style="thin">
          <color auto="1"/>
        </bottom>
        <vertical/>
        <horizontal/>
      </border>
    </dxf>
    <dxf>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s>
  <tableStyles count="3" defaultTableStyle="TableStyleMedium2" defaultPivotStyle="PivotStyleLight16">
    <tableStyle name="my own style" pivot="0" table="0" count="10" xr9:uid="{D9E73E3D-7BD8-4510-881E-5DC0CDF4C2A8}">
      <tableStyleElement type="wholeTable" dxfId="24"/>
      <tableStyleElement type="headerRow" dxfId="23"/>
    </tableStyle>
    <tableStyle name="my style" pivot="0" table="0" count="1" xr9:uid="{4AA84600-A426-4FA3-8B98-F1626F780D9A}">
      <tableStyleElement type="wholeTable" dxfId="22"/>
    </tableStyle>
    <tableStyle name="Slicer Style 1" pivot="0" table="0" count="1" xr9:uid="{CC091CF7-681F-4AB0-9727-3A514F6F3989}">
      <tableStyleElement type="wholeTable" dxfId="21"/>
    </tableStyle>
  </tableStyles>
  <colors>
    <mruColors>
      <color rgb="FF1B2B48"/>
      <color rgb="FF2BA84A"/>
      <color rgb="FF1677C8"/>
      <color rgb="FFD92FB1"/>
      <color rgb="FF16B7B8"/>
      <color rgb="FFF4A041"/>
      <color rgb="FF28A99E"/>
      <color rgb="FF38BACC"/>
      <color rgb="FFF4B18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own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4.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Report!Distinct Count of Patients chart</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A99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164421239279324"/>
          <c:w val="0.96558203818398702"/>
          <c:h val="0.77438795011729655"/>
        </c:manualLayout>
      </c:layout>
      <c:areaChart>
        <c:grouping val="standard"/>
        <c:varyColors val="0"/>
        <c:ser>
          <c:idx val="0"/>
          <c:order val="0"/>
          <c:tx>
            <c:strRef>
              <c:f>'Pivot Report'!$E$5</c:f>
              <c:strCache>
                <c:ptCount val="1"/>
                <c:pt idx="0">
                  <c:v>Total</c:v>
                </c:pt>
              </c:strCache>
            </c:strRef>
          </c:tx>
          <c:spPr>
            <a:solidFill>
              <a:srgbClr val="28A99E"/>
            </a:solidFill>
            <a:ln w="25400">
              <a:noFill/>
            </a:ln>
            <a:effectLst/>
          </c:spPr>
          <c:cat>
            <c:strRef>
              <c:f>'Pivot Report'!$D$6:$D$37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E7E1-42D5-AFEC-3F116BA27663}"/>
            </c:ext>
          </c:extLst>
        </c:ser>
        <c:dLbls>
          <c:showLegendKey val="0"/>
          <c:showVal val="0"/>
          <c:showCatName val="0"/>
          <c:showSerName val="0"/>
          <c:showPercent val="0"/>
          <c:showBubbleSize val="0"/>
        </c:dLbls>
        <c:axId val="1451422384"/>
        <c:axId val="824429744"/>
      </c:areaChart>
      <c:catAx>
        <c:axId val="1451422384"/>
        <c:scaling>
          <c:orientation val="minMax"/>
        </c:scaling>
        <c:delete val="1"/>
        <c:axPos val="b"/>
        <c:numFmt formatCode="General" sourceLinked="1"/>
        <c:majorTickMark val="out"/>
        <c:minorTickMark val="none"/>
        <c:tickLblPos val="nextTo"/>
        <c:crossAx val="824429744"/>
        <c:crosses val="autoZero"/>
        <c:auto val="1"/>
        <c:lblAlgn val="ctr"/>
        <c:lblOffset val="100"/>
        <c:noMultiLvlLbl val="0"/>
      </c:catAx>
      <c:valAx>
        <c:axId val="824429744"/>
        <c:scaling>
          <c:orientation val="minMax"/>
        </c:scaling>
        <c:delete val="1"/>
        <c:axPos val="l"/>
        <c:numFmt formatCode="General" sourceLinked="1"/>
        <c:majorTickMark val="none"/>
        <c:minorTickMark val="none"/>
        <c:tickLblPos val="nextTo"/>
        <c:crossAx val="1451422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Report!AVG WaitTime Chat</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A99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2673823392353E-2"/>
          <c:y val="7.0977477225730737E-2"/>
          <c:w val="0.98997326176607647"/>
          <c:h val="0.92902252277426933"/>
        </c:manualLayout>
      </c:layout>
      <c:areaChart>
        <c:grouping val="standard"/>
        <c:varyColors val="0"/>
        <c:ser>
          <c:idx val="0"/>
          <c:order val="0"/>
          <c:tx>
            <c:strRef>
              <c:f>'Pivot Report'!$B$5</c:f>
              <c:strCache>
                <c:ptCount val="1"/>
                <c:pt idx="0">
                  <c:v>Total</c:v>
                </c:pt>
              </c:strCache>
            </c:strRef>
          </c:tx>
          <c:spPr>
            <a:solidFill>
              <a:srgbClr val="28A99E"/>
            </a:solidFill>
            <a:ln w="25400">
              <a:noFill/>
            </a:ln>
            <a:effectLst/>
          </c:spPr>
          <c:cat>
            <c:strRef>
              <c:f>'Pivot Report'!$A$6:$A$37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Report'!$B$6:$B$37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1270-4C51-A192-12113430A245}"/>
            </c:ext>
          </c:extLst>
        </c:ser>
        <c:dLbls>
          <c:showLegendKey val="0"/>
          <c:showVal val="0"/>
          <c:showCatName val="0"/>
          <c:showSerName val="0"/>
          <c:showPercent val="0"/>
          <c:showBubbleSize val="0"/>
        </c:dLbls>
        <c:axId val="338816895"/>
        <c:axId val="579925775"/>
      </c:areaChart>
      <c:catAx>
        <c:axId val="338816895"/>
        <c:scaling>
          <c:orientation val="minMax"/>
        </c:scaling>
        <c:delete val="1"/>
        <c:axPos val="b"/>
        <c:numFmt formatCode="General" sourceLinked="1"/>
        <c:majorTickMark val="out"/>
        <c:minorTickMark val="none"/>
        <c:tickLblPos val="nextTo"/>
        <c:crossAx val="579925775"/>
        <c:crosses val="autoZero"/>
        <c:auto val="1"/>
        <c:lblAlgn val="ctr"/>
        <c:lblOffset val="100"/>
        <c:noMultiLvlLbl val="0"/>
      </c:catAx>
      <c:valAx>
        <c:axId val="579925775"/>
        <c:scaling>
          <c:orientation val="minMax"/>
        </c:scaling>
        <c:delete val="1"/>
        <c:axPos val="l"/>
        <c:numFmt formatCode="0.00" sourceLinked="1"/>
        <c:majorTickMark val="none"/>
        <c:minorTickMark val="none"/>
        <c:tickLblPos val="nextTo"/>
        <c:crossAx val="3388168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Report!Patient Satisfaction score chart</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A99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70393013289066E-2"/>
          <c:y val="5.1817276777699803E-2"/>
          <c:w val="0.96589963646276766"/>
          <c:h val="0.92549804427181082"/>
        </c:manualLayout>
      </c:layout>
      <c:areaChart>
        <c:grouping val="standard"/>
        <c:varyColors val="0"/>
        <c:ser>
          <c:idx val="0"/>
          <c:order val="0"/>
          <c:tx>
            <c:strRef>
              <c:f>'Pivot Report'!$H$5</c:f>
              <c:strCache>
                <c:ptCount val="1"/>
                <c:pt idx="0">
                  <c:v>Total</c:v>
                </c:pt>
              </c:strCache>
            </c:strRef>
          </c:tx>
          <c:spPr>
            <a:solidFill>
              <a:srgbClr val="28A99E"/>
            </a:solidFill>
            <a:ln w="25400">
              <a:noFill/>
            </a:ln>
            <a:effectLst/>
          </c:spPr>
          <c:cat>
            <c:strRef>
              <c:f>'Pivot Report'!$G$6:$G$37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Report'!$H$6:$H$37</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CF73-48EF-9FB9-2CCE048B3724}"/>
            </c:ext>
          </c:extLst>
        </c:ser>
        <c:dLbls>
          <c:showLegendKey val="0"/>
          <c:showVal val="0"/>
          <c:showCatName val="0"/>
          <c:showSerName val="0"/>
          <c:showPercent val="0"/>
          <c:showBubbleSize val="0"/>
        </c:dLbls>
        <c:axId val="1232219424"/>
        <c:axId val="1254386544"/>
      </c:areaChart>
      <c:catAx>
        <c:axId val="1232219424"/>
        <c:scaling>
          <c:orientation val="minMax"/>
        </c:scaling>
        <c:delete val="1"/>
        <c:axPos val="b"/>
        <c:numFmt formatCode="General" sourceLinked="1"/>
        <c:majorTickMark val="out"/>
        <c:minorTickMark val="none"/>
        <c:tickLblPos val="nextTo"/>
        <c:crossAx val="1254386544"/>
        <c:crosses val="autoZero"/>
        <c:auto val="1"/>
        <c:lblAlgn val="ctr"/>
        <c:lblOffset val="100"/>
        <c:noMultiLvlLbl val="0"/>
      </c:catAx>
      <c:valAx>
        <c:axId val="1254386544"/>
        <c:scaling>
          <c:orientation val="minMax"/>
        </c:scaling>
        <c:delete val="1"/>
        <c:axPos val="l"/>
        <c:numFmt formatCode="0.0" sourceLinked="1"/>
        <c:majorTickMark val="none"/>
        <c:minorTickMark val="none"/>
        <c:tickLblPos val="nextTo"/>
        <c:crossAx val="12322194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Report!Distinct Count of Patients chart</c:name>
    <c:fmtId val="37"/>
  </c:pivotSource>
  <c:chart>
    <c:title>
      <c:tx>
        <c:rich>
          <a:bodyPr rot="0" spcFirstLastPara="1" vertOverflow="ellipsis" vert="horz" wrap="square" anchor="ctr" anchorCtr="1"/>
          <a:lstStyle/>
          <a:p>
            <a:pPr algn="l">
              <a:defRPr sz="1100" b="0" i="0" u="none" strike="noStrike" kern="1200" spc="0" baseline="0">
                <a:solidFill>
                  <a:srgbClr val="002060"/>
                </a:solidFill>
                <a:latin typeface="Segoe UI Semibold" panose="020B0702040204020203" pitchFamily="34" charset="0"/>
                <a:ea typeface="+mn-ea"/>
                <a:cs typeface="Segoe UI Semibold" panose="020B0702040204020203" pitchFamily="34" charset="0"/>
              </a:defRPr>
            </a:pPr>
            <a:r>
              <a:rPr lang="en-IN" sz="1100" b="1">
                <a:solidFill>
                  <a:srgbClr val="002060"/>
                </a:solidFill>
                <a:latin typeface="Segoe UI Semibold" panose="020B0702040204020203" pitchFamily="34" charset="0"/>
                <a:cs typeface="Segoe UI Semibold" panose="020B0702040204020203" pitchFamily="34" charset="0"/>
              </a:rPr>
              <a:t>PATIENTS</a:t>
            </a:r>
            <a:r>
              <a:rPr lang="en-IN" sz="1100" b="1" baseline="0">
                <a:solidFill>
                  <a:srgbClr val="002060"/>
                </a:solidFill>
                <a:latin typeface="Segoe UI Semibold" panose="020B0702040204020203" pitchFamily="34" charset="0"/>
                <a:cs typeface="Segoe UI Semibold" panose="020B0702040204020203" pitchFamily="34" charset="0"/>
              </a:rPr>
              <a:t> TREND(DAILY)</a:t>
            </a:r>
            <a:endParaRPr lang="en-IN" sz="1100" b="1">
              <a:solidFill>
                <a:srgbClr val="002060"/>
              </a:solidFill>
              <a:latin typeface="Segoe UI Semibold" panose="020B0702040204020203" pitchFamily="34" charset="0"/>
              <a:cs typeface="Segoe UI Semibold" panose="020B0702040204020203" pitchFamily="34" charset="0"/>
            </a:endParaRPr>
          </a:p>
        </c:rich>
      </c:tx>
      <c:layout>
        <c:manualLayout>
          <c:xMode val="edge"/>
          <c:yMode val="edge"/>
          <c:x val="4.4069214514957629E-4"/>
          <c:y val="0"/>
        </c:manualLayout>
      </c:layout>
      <c:overlay val="0"/>
      <c:spPr>
        <a:noFill/>
        <a:ln>
          <a:noFill/>
        </a:ln>
        <a:effectLst/>
      </c:spPr>
      <c:txPr>
        <a:bodyPr rot="0" spcFirstLastPara="1" vertOverflow="ellipsis" vert="horz" wrap="square" anchor="ctr" anchorCtr="1"/>
        <a:lstStyle/>
        <a:p>
          <a:pPr algn="l">
            <a:defRPr sz="1100" b="0" i="0" u="none" strike="noStrike" kern="1200" spc="0" baseline="0">
              <a:solidFill>
                <a:srgbClr val="002060"/>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28A99E"/>
              </a:gs>
              <a:gs pos="25000">
                <a:srgbClr val="28A99E">
                  <a:alpha val="80000"/>
                </a:srgbClr>
              </a:gs>
              <a:gs pos="100000">
                <a:schemeClr val="bg1">
                  <a:alpha val="6000"/>
                </a:schemeClr>
              </a:gs>
              <a:gs pos="100000">
                <a:srgbClr val="28A99E"/>
              </a:gs>
              <a:gs pos="45000">
                <a:srgbClr val="28A99E">
                  <a:alpha val="57000"/>
                </a:srgbClr>
              </a:gs>
              <a:gs pos="70000">
                <a:srgbClr val="28A99E">
                  <a:alpha val="25000"/>
                </a:srgbClr>
              </a:gs>
              <a:gs pos="100000">
                <a:schemeClr val="accent1">
                  <a:lumMod val="30000"/>
                  <a:lumOff val="70000"/>
                  <a:alpha val="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28A99E"/>
              </a:gs>
              <a:gs pos="25000">
                <a:srgbClr val="28A99E">
                  <a:alpha val="80000"/>
                </a:srgbClr>
              </a:gs>
              <a:gs pos="100000">
                <a:schemeClr val="bg1">
                  <a:alpha val="6000"/>
                </a:schemeClr>
              </a:gs>
              <a:gs pos="100000">
                <a:srgbClr val="28A99E"/>
              </a:gs>
              <a:gs pos="45000">
                <a:srgbClr val="28A99E">
                  <a:alpha val="57000"/>
                </a:srgbClr>
              </a:gs>
              <a:gs pos="70000">
                <a:srgbClr val="28A99E">
                  <a:alpha val="25000"/>
                </a:srgbClr>
              </a:gs>
              <a:gs pos="100000">
                <a:schemeClr val="accent1">
                  <a:lumMod val="30000"/>
                  <a:lumOff val="70000"/>
                  <a:alpha val="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rgbClr val="28A99E"/>
              </a:gs>
              <a:gs pos="25000">
                <a:srgbClr val="28A99E">
                  <a:alpha val="80000"/>
                </a:srgbClr>
              </a:gs>
              <a:gs pos="100000">
                <a:schemeClr val="bg1">
                  <a:alpha val="6000"/>
                </a:schemeClr>
              </a:gs>
              <a:gs pos="100000">
                <a:srgbClr val="28A99E"/>
              </a:gs>
              <a:gs pos="45000">
                <a:srgbClr val="28A99E">
                  <a:alpha val="57000"/>
                </a:srgbClr>
              </a:gs>
              <a:gs pos="70000">
                <a:srgbClr val="28A99E">
                  <a:alpha val="25000"/>
                </a:srgbClr>
              </a:gs>
              <a:gs pos="100000">
                <a:schemeClr val="accent1">
                  <a:lumMod val="30000"/>
                  <a:lumOff val="70000"/>
                  <a:alpha val="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26561601720497E-2"/>
          <c:y val="1.62444002501307E-2"/>
          <c:w val="0.92215799785459096"/>
          <c:h val="0.75412423667180351"/>
        </c:manualLayout>
      </c:layout>
      <c:areaChart>
        <c:grouping val="standard"/>
        <c:varyColors val="0"/>
        <c:ser>
          <c:idx val="0"/>
          <c:order val="0"/>
          <c:tx>
            <c:strRef>
              <c:f>'Pivot Report'!$E$5</c:f>
              <c:strCache>
                <c:ptCount val="1"/>
                <c:pt idx="0">
                  <c:v>Total</c:v>
                </c:pt>
              </c:strCache>
            </c:strRef>
          </c:tx>
          <c:spPr>
            <a:gradFill>
              <a:gsLst>
                <a:gs pos="0">
                  <a:srgbClr val="28A99E"/>
                </a:gs>
                <a:gs pos="25000">
                  <a:srgbClr val="28A99E">
                    <a:alpha val="80000"/>
                  </a:srgbClr>
                </a:gs>
                <a:gs pos="100000">
                  <a:schemeClr val="bg1">
                    <a:alpha val="6000"/>
                  </a:schemeClr>
                </a:gs>
                <a:gs pos="100000">
                  <a:srgbClr val="28A99E"/>
                </a:gs>
                <a:gs pos="45000">
                  <a:srgbClr val="28A99E">
                    <a:alpha val="57000"/>
                  </a:srgbClr>
                </a:gs>
                <a:gs pos="70000">
                  <a:srgbClr val="28A99E">
                    <a:alpha val="25000"/>
                  </a:srgbClr>
                </a:gs>
                <a:gs pos="100000">
                  <a:schemeClr val="accent1">
                    <a:lumMod val="30000"/>
                    <a:lumOff val="70000"/>
                    <a:alpha val="0"/>
                  </a:schemeClr>
                </a:gs>
              </a:gsLst>
              <a:lin ang="5400000" scaled="1"/>
            </a:gradFill>
            <a:ln w="25400">
              <a:noFill/>
            </a:ln>
            <a:effectLst/>
          </c:spPr>
          <c:cat>
            <c:strRef>
              <c:f>'Pivot Report'!$D$6:$D$37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A9CB-4BA0-A2F1-FFF66813F931}"/>
            </c:ext>
          </c:extLst>
        </c:ser>
        <c:dLbls>
          <c:showLegendKey val="0"/>
          <c:showVal val="0"/>
          <c:showCatName val="0"/>
          <c:showSerName val="0"/>
          <c:showPercent val="0"/>
          <c:showBubbleSize val="0"/>
        </c:dLbls>
        <c:axId val="522059632"/>
        <c:axId val="387771600"/>
      </c:areaChart>
      <c:catAx>
        <c:axId val="52205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780000" spcFirstLastPara="1" vertOverflow="ellipsis" wrap="square" anchor="b" anchorCtr="0"/>
          <a:lstStyle/>
          <a:p>
            <a:pPr>
              <a:defRPr sz="1000" b="0" i="0" u="none" strike="noStrike" kern="1200" baseline="0">
                <a:solidFill>
                  <a:schemeClr val="tx1">
                    <a:lumMod val="65000"/>
                    <a:lumOff val="35000"/>
                  </a:schemeClr>
                </a:solidFill>
                <a:latin typeface="+mn-lt"/>
                <a:ea typeface="+mn-ea"/>
                <a:cs typeface="+mn-cs"/>
              </a:defRPr>
            </a:pPr>
            <a:endParaRPr lang="en-US"/>
          </a:p>
        </c:txPr>
        <c:crossAx val="387771600"/>
        <c:crosses val="autoZero"/>
        <c:auto val="1"/>
        <c:lblAlgn val="ctr"/>
        <c:lblOffset val="100"/>
        <c:tickLblSkip val="2"/>
        <c:tickMarkSkip val="1"/>
        <c:noMultiLvlLbl val="0"/>
      </c:catAx>
      <c:valAx>
        <c:axId val="387771600"/>
        <c:scaling>
          <c:orientation val="minMax"/>
        </c:scaling>
        <c:delete val="1"/>
        <c:axPos val="l"/>
        <c:numFmt formatCode="General" sourceLinked="1"/>
        <c:majorTickMark val="none"/>
        <c:minorTickMark val="none"/>
        <c:tickLblPos val="nextTo"/>
        <c:crossAx val="5220596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Report!patient by Age Group</c:name>
    <c:fmtId val="15"/>
  </c:pivotSource>
  <c:chart>
    <c:title>
      <c:tx>
        <c:rich>
          <a:bodyPr rot="0" spcFirstLastPara="1" vertOverflow="ellipsis" vert="horz" wrap="square" anchor="ctr" anchorCtr="1"/>
          <a:lstStyle/>
          <a:p>
            <a:pPr algn="l">
              <a:defRPr sz="1100" b="0" i="0" u="none" strike="noStrike" kern="1200" spc="0" baseline="0">
                <a:solidFill>
                  <a:srgbClr val="002060"/>
                </a:solidFill>
                <a:latin typeface="Segoe UI Semibold" panose="020B0702040204020203" pitchFamily="34" charset="0"/>
                <a:ea typeface="+mn-ea"/>
                <a:cs typeface="Segoe UI Semibold" panose="020B0702040204020203" pitchFamily="34" charset="0"/>
              </a:defRPr>
            </a:pPr>
            <a:r>
              <a:rPr lang="en-US" sz="1100" b="1">
                <a:solidFill>
                  <a:srgbClr val="002060"/>
                </a:solidFill>
                <a:latin typeface="Segoe UI Semibold" panose="020B0702040204020203" pitchFamily="34" charset="0"/>
                <a:cs typeface="Segoe UI Semibold" panose="020B0702040204020203" pitchFamily="34" charset="0"/>
              </a:rPr>
              <a:t>PATIENTS</a:t>
            </a:r>
            <a:r>
              <a:rPr lang="en-US" sz="1100" b="1" baseline="0">
                <a:solidFill>
                  <a:srgbClr val="002060"/>
                </a:solidFill>
                <a:latin typeface="Segoe UI Semibold" panose="020B0702040204020203" pitchFamily="34" charset="0"/>
                <a:cs typeface="Segoe UI Semibold" panose="020B0702040204020203" pitchFamily="34" charset="0"/>
              </a:rPr>
              <a:t> BY AGE GROUP</a:t>
            </a:r>
            <a:endParaRPr lang="en-US" sz="1100" b="1">
              <a:solidFill>
                <a:srgbClr val="002060"/>
              </a:solidFill>
              <a:latin typeface="Segoe UI Semibold" panose="020B0702040204020203" pitchFamily="34" charset="0"/>
              <a:cs typeface="Segoe UI Semibold" panose="020B0702040204020203" pitchFamily="34" charset="0"/>
            </a:endParaRPr>
          </a:p>
        </c:rich>
      </c:tx>
      <c:layout>
        <c:manualLayout>
          <c:xMode val="edge"/>
          <c:yMode val="edge"/>
          <c:x val="7.7695824175512181E-3"/>
          <c:y val="0"/>
        </c:manualLayout>
      </c:layout>
      <c:overlay val="0"/>
      <c:spPr>
        <a:noFill/>
        <a:ln>
          <a:noFill/>
        </a:ln>
        <a:effectLst/>
      </c:spPr>
      <c:txPr>
        <a:bodyPr rot="0" spcFirstLastPara="1" vertOverflow="ellipsis" vert="horz" wrap="square" anchor="ctr" anchorCtr="1"/>
        <a:lstStyle/>
        <a:p>
          <a:pPr algn="l">
            <a:defRPr sz="1100" b="0" i="0" u="none" strike="noStrike" kern="1200" spc="0" baseline="0">
              <a:solidFill>
                <a:srgbClr val="00206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A9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Report'!$R$3</c:f>
              <c:strCache>
                <c:ptCount val="1"/>
                <c:pt idx="0">
                  <c:v>Total</c:v>
                </c:pt>
              </c:strCache>
            </c:strRef>
          </c:tx>
          <c:spPr>
            <a:solidFill>
              <a:srgbClr val="28A99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Report'!$Q$4:$Q$12</c:f>
              <c:strCache>
                <c:ptCount val="8"/>
                <c:pt idx="0">
                  <c:v>0 - 09</c:v>
                </c:pt>
                <c:pt idx="1">
                  <c:v>10-19</c:v>
                </c:pt>
                <c:pt idx="2">
                  <c:v>20-29</c:v>
                </c:pt>
                <c:pt idx="3">
                  <c:v>30-39</c:v>
                </c:pt>
                <c:pt idx="4">
                  <c:v>40-49</c:v>
                </c:pt>
                <c:pt idx="5">
                  <c:v>50-59</c:v>
                </c:pt>
                <c:pt idx="6">
                  <c:v>60-69</c:v>
                </c:pt>
                <c:pt idx="7">
                  <c:v>70-79</c:v>
                </c:pt>
              </c:strCache>
            </c:strRef>
          </c:cat>
          <c:val>
            <c:numRef>
              <c:f>'Pivot Report'!$R$4:$R$12</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E4E7-40C7-90ED-B6BBD692AFFE}"/>
            </c:ext>
          </c:extLst>
        </c:ser>
        <c:dLbls>
          <c:dLblPos val="outEnd"/>
          <c:showLegendKey val="0"/>
          <c:showVal val="1"/>
          <c:showCatName val="0"/>
          <c:showSerName val="0"/>
          <c:showPercent val="0"/>
          <c:showBubbleSize val="0"/>
        </c:dLbls>
        <c:gapWidth val="219"/>
        <c:overlap val="-27"/>
        <c:axId val="1885592240"/>
        <c:axId val="1982136688"/>
      </c:barChart>
      <c:catAx>
        <c:axId val="188559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136688"/>
        <c:crosses val="autoZero"/>
        <c:auto val="1"/>
        <c:lblAlgn val="ctr"/>
        <c:lblOffset val="100"/>
        <c:noMultiLvlLbl val="0"/>
      </c:catAx>
      <c:valAx>
        <c:axId val="1982136688"/>
        <c:scaling>
          <c:orientation val="minMax"/>
        </c:scaling>
        <c:delete val="1"/>
        <c:axPos val="l"/>
        <c:numFmt formatCode="General" sourceLinked="1"/>
        <c:majorTickMark val="none"/>
        <c:minorTickMark val="none"/>
        <c:tickLblPos val="nextTo"/>
        <c:crossAx val="18855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Report!PivotTable4</c:name>
    <c:fmtId val="22"/>
  </c:pivotSource>
  <c:chart>
    <c:title>
      <c:tx>
        <c:rich>
          <a:bodyPr rot="0" spcFirstLastPara="1" vertOverflow="ellipsis" vert="horz" wrap="square" anchor="ctr" anchorCtr="1"/>
          <a:lstStyle/>
          <a:p>
            <a:pPr>
              <a:defRPr sz="1200" b="0" i="0" u="none" strike="noStrike" kern="1200" spc="0" baseline="0">
                <a:solidFill>
                  <a:srgbClr val="1B2B48"/>
                </a:solidFill>
                <a:latin typeface="Segoe UI Semibold" panose="020B0702040204020203" pitchFamily="34" charset="0"/>
                <a:ea typeface="+mn-ea"/>
                <a:cs typeface="Segoe UI Semibold" panose="020B0702040204020203" pitchFamily="34" charset="0"/>
              </a:defRPr>
            </a:pPr>
            <a:r>
              <a:rPr lang="en-US" sz="1200">
                <a:solidFill>
                  <a:srgbClr val="1B2B48"/>
                </a:solidFill>
                <a:latin typeface="Segoe UI Semibold" panose="020B0702040204020203" pitchFamily="34" charset="0"/>
                <a:cs typeface="Segoe UI Semibold" panose="020B0702040204020203" pitchFamily="34" charset="0"/>
              </a:rPr>
              <a:t>PATIENTS ATTENDED WITHIN TIME</a:t>
            </a:r>
          </a:p>
        </c:rich>
      </c:tx>
      <c:layout>
        <c:manualLayout>
          <c:xMode val="edge"/>
          <c:yMode val="edge"/>
          <c:x val="1.1474482603414833E-2"/>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1B2B48"/>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4A041"/>
          </a:solidFill>
          <a:ln w="19050">
            <a:solidFill>
              <a:schemeClr val="lt1"/>
            </a:solidFill>
          </a:ln>
          <a:effectLst/>
        </c:spPr>
      </c:pivotFmt>
      <c:pivotFmt>
        <c:idx val="2"/>
        <c:spPr>
          <a:solidFill>
            <a:srgbClr val="16B7B8"/>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4A041"/>
          </a:solidFill>
          <a:ln w="19050">
            <a:solidFill>
              <a:schemeClr val="lt1"/>
            </a:solidFill>
          </a:ln>
          <a:effectLst/>
        </c:spPr>
      </c:pivotFmt>
      <c:pivotFmt>
        <c:idx val="5"/>
        <c:spPr>
          <a:solidFill>
            <a:srgbClr val="16B7B8"/>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4A041"/>
          </a:solidFill>
          <a:ln w="19050">
            <a:solidFill>
              <a:schemeClr val="lt1"/>
            </a:solidFill>
          </a:ln>
          <a:effectLst/>
        </c:spPr>
      </c:pivotFmt>
      <c:pivotFmt>
        <c:idx val="8"/>
        <c:spPr>
          <a:solidFill>
            <a:srgbClr val="16B7B8"/>
          </a:solidFill>
          <a:ln w="19050">
            <a:solidFill>
              <a:schemeClr val="lt1"/>
            </a:solidFill>
          </a:ln>
          <a:effectLst/>
        </c:spPr>
      </c:pivotFmt>
    </c:pivotFmts>
    <c:plotArea>
      <c:layout>
        <c:manualLayout>
          <c:layoutTarget val="inner"/>
          <c:xMode val="edge"/>
          <c:yMode val="edge"/>
          <c:x val="4.3038636452257202E-2"/>
          <c:y val="0.14005233347838517"/>
          <c:w val="0.59068785391715251"/>
          <c:h val="0.78268555631972492"/>
        </c:manualLayout>
      </c:layout>
      <c:doughnutChart>
        <c:varyColors val="1"/>
        <c:ser>
          <c:idx val="0"/>
          <c:order val="0"/>
          <c:tx>
            <c:strRef>
              <c:f>'Pivot Report'!$R$15</c:f>
              <c:strCache>
                <c:ptCount val="1"/>
                <c:pt idx="0">
                  <c:v>Total</c:v>
                </c:pt>
              </c:strCache>
            </c:strRef>
          </c:tx>
          <c:dPt>
            <c:idx val="0"/>
            <c:bubble3D val="0"/>
            <c:spPr>
              <a:solidFill>
                <a:srgbClr val="F4A041"/>
              </a:solidFill>
              <a:ln w="19050">
                <a:solidFill>
                  <a:schemeClr val="lt1"/>
                </a:solidFill>
              </a:ln>
              <a:effectLst/>
            </c:spPr>
            <c:extLst>
              <c:ext xmlns:c16="http://schemas.microsoft.com/office/drawing/2014/chart" uri="{C3380CC4-5D6E-409C-BE32-E72D297353CC}">
                <c16:uniqueId val="{00000001-1C24-42CC-8770-65DC98540A0D}"/>
              </c:ext>
            </c:extLst>
          </c:dPt>
          <c:dPt>
            <c:idx val="1"/>
            <c:bubble3D val="0"/>
            <c:spPr>
              <a:solidFill>
                <a:srgbClr val="16B7B8"/>
              </a:solidFill>
              <a:ln w="19050">
                <a:solidFill>
                  <a:schemeClr val="lt1"/>
                </a:solidFill>
              </a:ln>
              <a:effectLst/>
            </c:spPr>
            <c:extLst>
              <c:ext xmlns:c16="http://schemas.microsoft.com/office/drawing/2014/chart" uri="{C3380CC4-5D6E-409C-BE32-E72D297353CC}">
                <c16:uniqueId val="{00000003-1C24-42CC-8770-65DC98540A0D}"/>
              </c:ext>
            </c:extLst>
          </c:dPt>
          <c:cat>
            <c:strRef>
              <c:f>'Pivot Report'!$Q$16:$Q$18</c:f>
              <c:strCache>
                <c:ptCount val="2"/>
                <c:pt idx="0">
                  <c:v>Delay</c:v>
                </c:pt>
                <c:pt idx="1">
                  <c:v>On-Time</c:v>
                </c:pt>
              </c:strCache>
            </c:strRef>
          </c:cat>
          <c:val>
            <c:numRef>
              <c:f>'Pivot Report'!$R$16:$R$18</c:f>
              <c:numCache>
                <c:formatCode>General</c:formatCode>
                <c:ptCount val="2"/>
                <c:pt idx="0">
                  <c:v>316</c:v>
                </c:pt>
                <c:pt idx="1">
                  <c:v>197</c:v>
                </c:pt>
              </c:numCache>
            </c:numRef>
          </c:val>
          <c:extLst>
            <c:ext xmlns:c16="http://schemas.microsoft.com/office/drawing/2014/chart" uri="{C3380CC4-5D6E-409C-BE32-E72D297353CC}">
              <c16:uniqueId val="{00000008-6098-42BB-8EF7-6A288519A86D}"/>
            </c:ext>
          </c:extLst>
        </c:ser>
        <c:dLbls>
          <c:showLegendKey val="0"/>
          <c:showVal val="0"/>
          <c:showCatName val="0"/>
          <c:showSerName val="0"/>
          <c:showPercent val="0"/>
          <c:showBubbleSize val="0"/>
          <c:showLeaderLines val="1"/>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Report!Patient By Gender </c:name>
    <c:fmtId val="2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00">
                <a:solidFill>
                  <a:srgbClr val="1B2B48"/>
                </a:solidFill>
                <a:latin typeface="Segoe UI Semibold" panose="020B0702040204020203" pitchFamily="34" charset="0"/>
                <a:cs typeface="Segoe UI Semibold" panose="020B0702040204020203" pitchFamily="34" charset="0"/>
              </a:rPr>
              <a:t>PATIENT</a:t>
            </a:r>
            <a:r>
              <a:rPr lang="en-US" sz="1200" baseline="0">
                <a:solidFill>
                  <a:srgbClr val="1B2B48"/>
                </a:solidFill>
                <a:latin typeface="Segoe UI Semibold" panose="020B0702040204020203" pitchFamily="34" charset="0"/>
                <a:cs typeface="Segoe UI Semibold" panose="020B0702040204020203" pitchFamily="34" charset="0"/>
              </a:rPr>
              <a:t> BY GENDER</a:t>
            </a:r>
          </a:p>
        </c:rich>
      </c:tx>
      <c:layout>
        <c:manualLayout>
          <c:xMode val="edge"/>
          <c:yMode val="edge"/>
          <c:x val="1.2888888888888892E-2"/>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rgbClr val="D92FB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92FB1"/>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rgbClr val="D92FB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92FB1"/>
          </a:solidFill>
          <a:ln w="19050">
            <a:solidFill>
              <a:schemeClr val="lt1"/>
            </a:solidFill>
          </a:ln>
          <a:effectLst/>
        </c:spPr>
      </c:pivotFmt>
      <c:pivotFmt>
        <c:idx val="5"/>
        <c:spPr>
          <a:solidFill>
            <a:srgbClr val="0070C0"/>
          </a:solidFill>
          <a:ln w="19050">
            <a:solidFill>
              <a:schemeClr val="lt1"/>
            </a:solidFill>
          </a:ln>
          <a:effectLst/>
        </c:spPr>
      </c:pivotFmt>
      <c:pivotFmt>
        <c:idx val="6"/>
        <c:spPr>
          <a:solidFill>
            <a:srgbClr val="D92FB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92FB1"/>
          </a:solidFill>
          <a:ln w="19050">
            <a:solidFill>
              <a:schemeClr val="lt1"/>
            </a:solidFill>
          </a:ln>
          <a:effectLst/>
        </c:spPr>
      </c:pivotFmt>
      <c:pivotFmt>
        <c:idx val="8"/>
        <c:spPr>
          <a:solidFill>
            <a:srgbClr val="0070C0"/>
          </a:solidFill>
          <a:ln w="19050">
            <a:solidFill>
              <a:schemeClr val="lt1"/>
            </a:solidFill>
          </a:ln>
          <a:effectLst/>
        </c:spPr>
      </c:pivotFmt>
    </c:pivotFmts>
    <c:plotArea>
      <c:layout>
        <c:manualLayout>
          <c:layoutTarget val="inner"/>
          <c:xMode val="edge"/>
          <c:yMode val="edge"/>
          <c:x val="4.7049144804318759E-2"/>
          <c:y val="0.13613279817152613"/>
          <c:w val="0.56311231650376081"/>
          <c:h val="0.79200840371699177"/>
        </c:manualLayout>
      </c:layout>
      <c:doughnutChart>
        <c:varyColors val="1"/>
        <c:ser>
          <c:idx val="0"/>
          <c:order val="0"/>
          <c:tx>
            <c:strRef>
              <c:f>'Pivot Report'!$O$25</c:f>
              <c:strCache>
                <c:ptCount val="1"/>
                <c:pt idx="0">
                  <c:v>Total</c:v>
                </c:pt>
              </c:strCache>
            </c:strRef>
          </c:tx>
          <c:spPr>
            <a:solidFill>
              <a:srgbClr val="D92FB1"/>
            </a:solidFill>
          </c:spPr>
          <c:dPt>
            <c:idx val="0"/>
            <c:bubble3D val="0"/>
            <c:spPr>
              <a:solidFill>
                <a:srgbClr val="D92FB1"/>
              </a:solidFill>
              <a:ln w="19050">
                <a:solidFill>
                  <a:schemeClr val="lt1"/>
                </a:solidFill>
              </a:ln>
              <a:effectLst/>
            </c:spPr>
            <c:extLst>
              <c:ext xmlns:c16="http://schemas.microsoft.com/office/drawing/2014/chart" uri="{C3380CC4-5D6E-409C-BE32-E72D297353CC}">
                <c16:uniqueId val="{00000001-1853-4BE3-BE1E-029778D327A3}"/>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1853-4BE3-BE1E-029778D327A3}"/>
              </c:ext>
            </c:extLst>
          </c:dPt>
          <c:cat>
            <c:strRef>
              <c:f>'Pivot Report'!$N$26:$N$28</c:f>
              <c:strCache>
                <c:ptCount val="2"/>
                <c:pt idx="0">
                  <c:v>Female</c:v>
                </c:pt>
                <c:pt idx="1">
                  <c:v>Male</c:v>
                </c:pt>
              </c:strCache>
            </c:strRef>
          </c:cat>
          <c:val>
            <c:numRef>
              <c:f>'Pivot Report'!$O$26:$O$28</c:f>
              <c:numCache>
                <c:formatCode>General</c:formatCode>
                <c:ptCount val="2"/>
                <c:pt idx="0">
                  <c:v>241</c:v>
                </c:pt>
                <c:pt idx="1">
                  <c:v>272</c:v>
                </c:pt>
              </c:numCache>
            </c:numRef>
          </c:val>
          <c:extLst>
            <c:ext xmlns:c16="http://schemas.microsoft.com/office/drawing/2014/chart" uri="{C3380CC4-5D6E-409C-BE32-E72D297353CC}">
              <c16:uniqueId val="{00000008-DF5A-47EC-9268-8321922624D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Report!Department Referral</c:name>
    <c:fmtId val="32"/>
  </c:pivotSource>
  <c:chart>
    <c:title>
      <c:tx>
        <c:rich>
          <a:bodyPr rot="0" spcFirstLastPara="1" vertOverflow="ellipsis" vert="horz" wrap="square" anchor="ctr" anchorCtr="1"/>
          <a:lstStyle/>
          <a:p>
            <a:pPr>
              <a:defRPr sz="1000" b="0" i="0" u="none" strike="noStrike" kern="1200" spc="0" baseline="0">
                <a:solidFill>
                  <a:srgbClr val="002060"/>
                </a:solidFill>
                <a:latin typeface="Segoe UI Semibold" panose="020B0702040204020203" pitchFamily="34" charset="0"/>
                <a:ea typeface="+mn-ea"/>
                <a:cs typeface="Segoe UI Semibold" panose="020B0702040204020203" pitchFamily="34" charset="0"/>
              </a:defRPr>
            </a:pPr>
            <a:r>
              <a:rPr lang="en-IN" sz="1000" b="0" i="0" u="none" strike="noStrike" baseline="0">
                <a:solidFill>
                  <a:srgbClr val="002060"/>
                </a:solidFill>
                <a:effectLst/>
                <a:latin typeface="Segoe UI Semibold" panose="020B0702040204020203" pitchFamily="34" charset="0"/>
                <a:cs typeface="Segoe UI Semibold" panose="020B0702040204020203" pitchFamily="34" charset="0"/>
              </a:rPr>
              <a:t>DEPARTMENT REFERRAL </a:t>
            </a:r>
            <a:endParaRPr lang="en-US" sz="1000">
              <a:solidFill>
                <a:srgbClr val="002060"/>
              </a:solidFill>
              <a:latin typeface="Segoe UI Semibold" panose="020B0702040204020203" pitchFamily="34" charset="0"/>
              <a:cs typeface="Segoe UI Semibold" panose="020B0702040204020203" pitchFamily="34" charset="0"/>
            </a:endParaRPr>
          </a:p>
        </c:rich>
      </c:tx>
      <c:layout>
        <c:manualLayout>
          <c:xMode val="edge"/>
          <c:yMode val="edge"/>
          <c:x val="2.8227277329732018E-2"/>
          <c:y val="4.6296804835246454E-3"/>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rgbClr val="002060"/>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Report'!$O$12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Report'!$N$13:$N$21</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Report'!$O$13:$O$21</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E6BC-423B-A48F-6FDE262E8EBE}"/>
            </c:ext>
          </c:extLst>
        </c:ser>
        <c:dLbls>
          <c:showLegendKey val="0"/>
          <c:showVal val="0"/>
          <c:showCatName val="0"/>
          <c:showSerName val="0"/>
          <c:showPercent val="0"/>
          <c:showBubbleSize val="0"/>
        </c:dLbls>
        <c:gapWidth val="50"/>
        <c:overlap val="10"/>
        <c:axId val="1043599631"/>
        <c:axId val="950237743"/>
      </c:barChart>
      <c:catAx>
        <c:axId val="104359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0237743"/>
        <c:crosses val="autoZero"/>
        <c:auto val="1"/>
        <c:lblAlgn val="ctr"/>
        <c:lblOffset val="100"/>
        <c:noMultiLvlLbl val="0"/>
      </c:catAx>
      <c:valAx>
        <c:axId val="95023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9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latin typeface="Segoe UI Semibold" panose="020B0702040204020203" pitchFamily="34" charset="0"/>
                <a:cs typeface="Segoe UI Semibold" panose="020B0702040204020203" pitchFamily="34" charset="0"/>
              </a:rPr>
              <a:t>ADMISSION</a:t>
            </a:r>
            <a:r>
              <a:rPr lang="en-US" baseline="0">
                <a:solidFill>
                  <a:srgbClr val="002060"/>
                </a:solidFill>
                <a:latin typeface="Segoe UI Semibold" panose="020B0702040204020203" pitchFamily="34" charset="0"/>
                <a:cs typeface="Segoe UI Semibold" panose="020B0702040204020203" pitchFamily="34" charset="0"/>
              </a:rPr>
              <a:t> STATUS</a:t>
            </a:r>
            <a:endParaRPr lang="en-US">
              <a:solidFill>
                <a:srgbClr val="002060"/>
              </a:solidFill>
              <a:latin typeface="Segoe UI Semibold" panose="020B0702040204020203" pitchFamily="34" charset="0"/>
              <a:cs typeface="Segoe UI Semibold" panose="020B0702040204020203" pitchFamily="34" charset="0"/>
            </a:endParaRPr>
          </a:p>
        </c:rich>
      </c:tx>
      <c:layout>
        <c:manualLayout>
          <c:xMode val="edge"/>
          <c:yMode val="edge"/>
          <c:x val="1.8229002624671916E-2"/>
          <c:y val="6.883185299684132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a:softEdge rad="0"/>
          </a:effectLst>
        </c:spPr>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a:softEdge rad="0"/>
          </a:effectLst>
        </c:spPr>
      </c:pivotFmt>
      <c:pivotFmt>
        <c:idx val="4"/>
        <c:spPr>
          <a:solidFill>
            <a:srgbClr val="2BA8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677C8"/>
          </a:solidFill>
          <a:ln>
            <a:noFill/>
          </a:ln>
          <a:effectLst>
            <a:softEdge rad="0"/>
          </a:effectLst>
        </c:spPr>
      </c:pivotFmt>
      <c:pivotFmt>
        <c:idx val="6"/>
        <c:spPr>
          <a:solidFill>
            <a:srgbClr val="2BA84A"/>
          </a:solidFill>
          <a:ln cmpd="thinThick">
            <a:solidFill>
              <a:schemeClr val="accent6"/>
            </a:solidFill>
          </a:ln>
          <a:effectLst/>
        </c:spPr>
      </c:pivotFmt>
      <c:pivotFmt>
        <c:idx val="7"/>
        <c:spPr>
          <a:solidFill>
            <a:srgbClr val="2BA8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677C8"/>
          </a:solidFill>
          <a:ln>
            <a:noFill/>
          </a:ln>
          <a:effectLst>
            <a:softEdge rad="0"/>
          </a:effectLst>
        </c:spPr>
      </c:pivotFmt>
      <c:pivotFmt>
        <c:idx val="9"/>
        <c:spPr>
          <a:solidFill>
            <a:srgbClr val="2BA84A"/>
          </a:solidFill>
          <a:ln cmpd="thinThick">
            <a:solidFill>
              <a:schemeClr val="accent6"/>
            </a:solidFill>
          </a:ln>
          <a:effectLst/>
        </c:spPr>
      </c:pivotFmt>
      <c:pivotFmt>
        <c:idx val="10"/>
        <c:spPr>
          <a:solidFill>
            <a:srgbClr val="1677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BA84A"/>
          </a:solidFill>
          <a:ln>
            <a:noFill/>
          </a:ln>
          <a:effectLst>
            <a:softEdge rad="0"/>
          </a:effectLst>
        </c:spPr>
      </c:pivotFmt>
      <c:pivotFmt>
        <c:idx val="12"/>
        <c:spPr>
          <a:solidFill>
            <a:srgbClr val="1677C8"/>
          </a:solidFill>
          <a:ln cmpd="thinThick">
            <a:solidFill>
              <a:schemeClr val="accent6"/>
            </a:solidFill>
          </a:ln>
          <a:effectLst/>
        </c:spPr>
      </c:pivotFmt>
    </c:pivotFmts>
    <c:plotArea>
      <c:layout>
        <c:manualLayout>
          <c:layoutTarget val="inner"/>
          <c:xMode val="edge"/>
          <c:yMode val="edge"/>
          <c:x val="0.14125153513779176"/>
          <c:y val="0.21548406676783005"/>
          <c:w val="0.68716814784003555"/>
          <c:h val="0.62468423230790437"/>
        </c:manualLayout>
      </c:layout>
      <c:barChart>
        <c:barDir val="bar"/>
        <c:grouping val="clustered"/>
        <c:varyColors val="0"/>
        <c:ser>
          <c:idx val="0"/>
          <c:order val="0"/>
          <c:tx>
            <c:strRef>
              <c:f>'Pivot Report'!$O$2</c:f>
              <c:strCache>
                <c:ptCount val="1"/>
                <c:pt idx="0">
                  <c:v>Total</c:v>
                </c:pt>
              </c:strCache>
            </c:strRef>
          </c:tx>
          <c:spPr>
            <a:solidFill>
              <a:srgbClr val="1677C8"/>
            </a:solidFill>
            <a:ln>
              <a:noFill/>
            </a:ln>
            <a:effectLst/>
          </c:spPr>
          <c:invertIfNegative val="0"/>
          <c:dPt>
            <c:idx val="0"/>
            <c:invertIfNegative val="0"/>
            <c:bubble3D val="0"/>
            <c:spPr>
              <a:solidFill>
                <a:srgbClr val="2BA84A"/>
              </a:solidFill>
              <a:ln>
                <a:noFill/>
              </a:ln>
              <a:effectLst>
                <a:softEdge rad="0"/>
              </a:effectLst>
            </c:spPr>
            <c:extLst>
              <c:ext xmlns:c16="http://schemas.microsoft.com/office/drawing/2014/chart" uri="{C3380CC4-5D6E-409C-BE32-E72D297353CC}">
                <c16:uniqueId val="{00000001-563D-460A-B8C0-280397A714EE}"/>
              </c:ext>
            </c:extLst>
          </c:dPt>
          <c:dPt>
            <c:idx val="1"/>
            <c:invertIfNegative val="0"/>
            <c:bubble3D val="0"/>
            <c:spPr>
              <a:solidFill>
                <a:srgbClr val="1677C8"/>
              </a:solidFill>
              <a:ln cmpd="thinThick">
                <a:solidFill>
                  <a:schemeClr val="accent6"/>
                </a:solidFill>
              </a:ln>
              <a:effectLst/>
            </c:spPr>
            <c:extLst>
              <c:ext xmlns:c16="http://schemas.microsoft.com/office/drawing/2014/chart" uri="{C3380CC4-5D6E-409C-BE32-E72D297353CC}">
                <c16:uniqueId val="{00000003-563D-460A-B8C0-280397A714EE}"/>
              </c:ext>
            </c:extLst>
          </c:dPt>
          <c:cat>
            <c:strRef>
              <c:f>'Pivot Report'!$N$3:$N$5</c:f>
              <c:strCache>
                <c:ptCount val="2"/>
                <c:pt idx="0">
                  <c:v>Admitted</c:v>
                </c:pt>
                <c:pt idx="1">
                  <c:v>Not Admitted</c:v>
                </c:pt>
              </c:strCache>
            </c:strRef>
          </c:cat>
          <c:val>
            <c:numRef>
              <c:f>'Pivot Report'!$O$3:$O$5</c:f>
              <c:numCache>
                <c:formatCode>0.00</c:formatCode>
                <c:ptCount val="2"/>
                <c:pt idx="0">
                  <c:v>269</c:v>
                </c:pt>
                <c:pt idx="1">
                  <c:v>244</c:v>
                </c:pt>
              </c:numCache>
            </c:numRef>
          </c:val>
          <c:extLst>
            <c:ext xmlns:c16="http://schemas.microsoft.com/office/drawing/2014/chart" uri="{C3380CC4-5D6E-409C-BE32-E72D297353CC}">
              <c16:uniqueId val="{00000009-9DAC-4905-B820-5A8E6E6385EF}"/>
            </c:ext>
          </c:extLst>
        </c:ser>
        <c:dLbls>
          <c:showLegendKey val="0"/>
          <c:showVal val="0"/>
          <c:showCatName val="0"/>
          <c:showSerName val="0"/>
          <c:showPercent val="0"/>
          <c:showBubbleSize val="0"/>
        </c:dLbls>
        <c:gapWidth val="150"/>
        <c:axId val="1043430735"/>
        <c:axId val="950186863"/>
      </c:barChart>
      <c:catAx>
        <c:axId val="1043430735"/>
        <c:scaling>
          <c:orientation val="minMax"/>
        </c:scaling>
        <c:delete val="1"/>
        <c:axPos val="l"/>
        <c:numFmt formatCode="General" sourceLinked="1"/>
        <c:majorTickMark val="out"/>
        <c:minorTickMark val="none"/>
        <c:tickLblPos val="nextTo"/>
        <c:crossAx val="950186863"/>
        <c:crosses val="autoZero"/>
        <c:auto val="1"/>
        <c:lblAlgn val="ctr"/>
        <c:lblOffset val="100"/>
        <c:noMultiLvlLbl val="0"/>
      </c:catAx>
      <c:valAx>
        <c:axId val="950186863"/>
        <c:scaling>
          <c:orientation val="minMax"/>
        </c:scaling>
        <c:delete val="1"/>
        <c:axPos val="b"/>
        <c:numFmt formatCode="0.00" sourceLinked="1"/>
        <c:majorTickMark val="out"/>
        <c:minorTickMark val="none"/>
        <c:tickLblPos val="nextTo"/>
        <c:crossAx val="104343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Report!Distinct Count of Patients chart</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72185312919681E-2"/>
          <c:y val="2.4694295249517655E-2"/>
          <c:w val="0.95800477942405216"/>
          <c:h val="0.87400488432323442"/>
        </c:manualLayout>
      </c:layout>
      <c:areaChart>
        <c:grouping val="standard"/>
        <c:varyColors val="0"/>
        <c:ser>
          <c:idx val="0"/>
          <c:order val="0"/>
          <c:tx>
            <c:strRef>
              <c:f>'Pivot Report'!$E$5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Report'!$D$6:$D$37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Report'!$E$6:$E$37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6BA3-414A-B910-5ED6D4061FF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51422384"/>
        <c:axId val="824429744"/>
      </c:areaChart>
      <c:catAx>
        <c:axId val="14514223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820000" spcFirstLastPara="1" vertOverflow="ellipsis" wrap="square" anchor="b" anchorCtr="0"/>
          <a:lstStyle/>
          <a:p>
            <a:pPr>
              <a:defRPr sz="900" b="0" i="0" u="none" strike="noStrike" kern="1200" baseline="0">
                <a:solidFill>
                  <a:schemeClr val="lt1"/>
                </a:solidFill>
                <a:latin typeface="+mn-lt"/>
                <a:ea typeface="+mn-ea"/>
                <a:cs typeface="+mn-cs"/>
              </a:defRPr>
            </a:pPr>
            <a:endParaRPr lang="en-US"/>
          </a:p>
        </c:txPr>
        <c:crossAx val="824429744"/>
        <c:crosses val="autoZero"/>
        <c:auto val="1"/>
        <c:lblAlgn val="ctr"/>
        <c:lblOffset val="100"/>
        <c:noMultiLvlLbl val="0"/>
      </c:catAx>
      <c:valAx>
        <c:axId val="824429744"/>
        <c:scaling>
          <c:orientation val="minMax"/>
        </c:scaling>
        <c:delete val="1"/>
        <c:axPos val="l"/>
        <c:numFmt formatCode="General" sourceLinked="1"/>
        <c:majorTickMark val="out"/>
        <c:minorTickMark val="none"/>
        <c:tickLblPos val="nextTo"/>
        <c:crossAx val="1451422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Report!AVG WaitTime Chat</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343798901750716E-2"/>
          <c:y val="7.407407407407407E-2"/>
          <c:w val="0.96575163216796767"/>
          <c:h val="0.84295973498677401"/>
        </c:manualLayout>
      </c:layout>
      <c:areaChart>
        <c:grouping val="standard"/>
        <c:varyColors val="0"/>
        <c:ser>
          <c:idx val="0"/>
          <c:order val="0"/>
          <c:tx>
            <c:strRef>
              <c:f>'Pivot Report'!$B$5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Report'!$A$6:$A$37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Report'!$B$6:$B$37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6291-4688-991F-1D7BFB2D2C1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8816895"/>
        <c:axId val="579925775"/>
      </c:areaChart>
      <c:catAx>
        <c:axId val="3388168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3000000" spcFirstLastPara="1" vertOverflow="ellipsis" wrap="square" anchor="b" anchorCtr="0"/>
          <a:lstStyle/>
          <a:p>
            <a:pPr>
              <a:defRPr sz="900" b="0" i="0" u="none" strike="noStrike" kern="1200" baseline="0">
                <a:solidFill>
                  <a:schemeClr val="lt1"/>
                </a:solidFill>
                <a:latin typeface="+mn-lt"/>
                <a:ea typeface="+mn-ea"/>
                <a:cs typeface="+mn-cs"/>
              </a:defRPr>
            </a:pPr>
            <a:endParaRPr lang="en-US"/>
          </a:p>
        </c:txPr>
        <c:crossAx val="579925775"/>
        <c:crosses val="autoZero"/>
        <c:auto val="1"/>
        <c:lblAlgn val="ctr"/>
        <c:lblOffset val="100"/>
        <c:noMultiLvlLbl val="0"/>
      </c:catAx>
      <c:valAx>
        <c:axId val="579925775"/>
        <c:scaling>
          <c:orientation val="minMax"/>
        </c:scaling>
        <c:delete val="1"/>
        <c:axPos val="l"/>
        <c:numFmt formatCode="0.00" sourceLinked="1"/>
        <c:majorTickMark val="out"/>
        <c:minorTickMark val="none"/>
        <c:tickLblPos val="nextTo"/>
        <c:crossAx val="3388168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[Hospital_Emergency_Room_Dashboard.xlsx]Pivot Report!Patient Satisfaction score chart</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997148239404197E-2"/>
          <c:y val="2.7454246525377195E-2"/>
          <c:w val="0.95508494889570494"/>
          <c:h val="0.8536709916787002"/>
        </c:manualLayout>
      </c:layout>
      <c:areaChart>
        <c:grouping val="standard"/>
        <c:varyColors val="0"/>
        <c:ser>
          <c:idx val="0"/>
          <c:order val="0"/>
          <c:tx>
            <c:strRef>
              <c:f>'Pivot Report'!$H$5</c:f>
              <c:strCache>
                <c:ptCount val="1"/>
                <c:pt idx="0">
                  <c:v>Total</c:v>
                </c:pt>
              </c:strCache>
            </c:strRef>
          </c:tx>
          <c:spPr>
            <a:gradFill>
              <a:gsLst>
                <a:gs pos="0">
                  <a:schemeClr val="lt1">
                    <a:alpha val="50000"/>
                  </a:schemeClr>
                </a:gs>
                <a:gs pos="100000">
                  <a:schemeClr val="lt1">
                    <a:alpha val="0"/>
                  </a:schemeClr>
                </a:gs>
              </a:gsLst>
              <a:lin ang="5400000" scaled="0"/>
            </a:gradFill>
            <a:ln w="25400">
              <a:no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Report'!$G$6:$G$37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Report'!$H$6:$H$37</c:f>
              <c:numCache>
                <c:formatCode>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ACEF-4187-A7C7-00E2660C0E4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32219424"/>
        <c:axId val="1254386544"/>
      </c:areaChart>
      <c:catAx>
        <c:axId val="12322194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276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1254386544"/>
        <c:crosses val="autoZero"/>
        <c:auto val="1"/>
        <c:lblAlgn val="ctr"/>
        <c:lblOffset val="100"/>
        <c:noMultiLvlLbl val="0"/>
      </c:catAx>
      <c:valAx>
        <c:axId val="1254386544"/>
        <c:scaling>
          <c:orientation val="minMax"/>
        </c:scaling>
        <c:delete val="1"/>
        <c:axPos val="l"/>
        <c:numFmt formatCode="0.0" sourceLinked="1"/>
        <c:majorTickMark val="out"/>
        <c:minorTickMark val="none"/>
        <c:tickLblPos val="nextTo"/>
        <c:crossAx val="12322194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70C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action Score'!A1"/><Relationship Id="rId18" Type="http://schemas.openxmlformats.org/officeDocument/2006/relationships/image" Target="../media/image11.pn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Patient Avg Wait-Time'!A1"/><Relationship Id="rId24"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chart" Target="../charts/chart4.xml"/><Relationship Id="rId23" Type="http://schemas.openxmlformats.org/officeDocument/2006/relationships/chart" Target="../charts/chart8.xml"/><Relationship Id="rId10" Type="http://schemas.openxmlformats.org/officeDocument/2006/relationships/chart" Target="../charts/chart1.xml"/><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hyperlink" Target="#'Every Day Patient Count'!A1"/><Relationship Id="rId14" Type="http://schemas.openxmlformats.org/officeDocument/2006/relationships/chart" Target="../charts/chart3.xml"/><Relationship Id="rId22"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22.sv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svg"/><Relationship Id="rId1" Type="http://schemas.openxmlformats.org/officeDocument/2006/relationships/image" Target="../media/image15.png"/><Relationship Id="rId6" Type="http://schemas.openxmlformats.org/officeDocument/2006/relationships/image" Target="../media/image20.svg"/><Relationship Id="rId5" Type="http://schemas.openxmlformats.org/officeDocument/2006/relationships/image" Target="../media/image19.png"/><Relationship Id="rId4" Type="http://schemas.openxmlformats.org/officeDocument/2006/relationships/image" Target="../media/image1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svg"/><Relationship Id="rId1" Type="http://schemas.openxmlformats.org/officeDocument/2006/relationships/image" Target="../media/image23.png"/><Relationship Id="rId4" Type="http://schemas.openxmlformats.org/officeDocument/2006/relationships/image" Target="../media/image26.svg"/></Relationships>
</file>

<file path=xl/drawings/_rels/drawing5.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28.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28.svg"/><Relationship Id="rId2" Type="http://schemas.openxmlformats.org/officeDocument/2006/relationships/image" Target="../media/image27.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3" Type="http://schemas.openxmlformats.org/officeDocument/2006/relationships/image" Target="../media/image28.svg"/><Relationship Id="rId2" Type="http://schemas.openxmlformats.org/officeDocument/2006/relationships/image" Target="../media/image27.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60912</xdr:colOff>
      <xdr:row>0</xdr:row>
      <xdr:rowOff>78628</xdr:rowOff>
    </xdr:from>
    <xdr:to>
      <xdr:col>25</xdr:col>
      <xdr:colOff>87188</xdr:colOff>
      <xdr:row>31</xdr:row>
      <xdr:rowOff>17318</xdr:rowOff>
    </xdr:to>
    <xdr:sp macro="" textlink="">
      <xdr:nvSpPr>
        <xdr:cNvPr id="3" name="Rectangle 2">
          <a:extLst>
            <a:ext uri="{FF2B5EF4-FFF2-40B4-BE49-F238E27FC236}">
              <a16:creationId xmlns:a16="http://schemas.microsoft.com/office/drawing/2014/main" id="{42F162ED-0045-0921-3938-5FF2FDF59856}"/>
            </a:ext>
          </a:extLst>
        </xdr:cNvPr>
        <xdr:cNvSpPr/>
      </xdr:nvSpPr>
      <xdr:spPr>
        <a:xfrm>
          <a:off x="60912" y="78628"/>
          <a:ext cx="15179685" cy="557575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0</xdr:col>
      <xdr:colOff>227724</xdr:colOff>
      <xdr:row>0</xdr:row>
      <xdr:rowOff>148897</xdr:rowOff>
    </xdr:from>
    <xdr:to>
      <xdr:col>10</xdr:col>
      <xdr:colOff>543035</xdr:colOff>
      <xdr:row>5</xdr:row>
      <xdr:rowOff>61311</xdr:rowOff>
    </xdr:to>
    <xdr:sp macro="" textlink="">
      <xdr:nvSpPr>
        <xdr:cNvPr id="6" name="Rectangle: Rounded Corners 5">
          <a:extLst>
            <a:ext uri="{FF2B5EF4-FFF2-40B4-BE49-F238E27FC236}">
              <a16:creationId xmlns:a16="http://schemas.microsoft.com/office/drawing/2014/main" id="{26C7CEA7-6975-445F-6988-34C170BC57E4}"/>
            </a:ext>
          </a:extLst>
        </xdr:cNvPr>
        <xdr:cNvSpPr/>
      </xdr:nvSpPr>
      <xdr:spPr>
        <a:xfrm>
          <a:off x="227724" y="148897"/>
          <a:ext cx="6446345" cy="832069"/>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111862</xdr:colOff>
      <xdr:row>0</xdr:row>
      <xdr:rowOff>86534</xdr:rowOff>
    </xdr:from>
    <xdr:to>
      <xdr:col>16</xdr:col>
      <xdr:colOff>91440</xdr:colOff>
      <xdr:row>5</xdr:row>
      <xdr:rowOff>142240</xdr:rowOff>
    </xdr:to>
    <xdr:sp macro="" textlink="">
      <xdr:nvSpPr>
        <xdr:cNvPr id="5" name="Rectangle: Rounded Corners 4">
          <a:extLst>
            <a:ext uri="{FF2B5EF4-FFF2-40B4-BE49-F238E27FC236}">
              <a16:creationId xmlns:a16="http://schemas.microsoft.com/office/drawing/2014/main" id="{0C4DDCB8-1233-44AF-54B1-4C5B0D0788A9}"/>
            </a:ext>
          </a:extLst>
        </xdr:cNvPr>
        <xdr:cNvSpPr/>
      </xdr:nvSpPr>
      <xdr:spPr>
        <a:xfrm>
          <a:off x="8036662" y="86534"/>
          <a:ext cx="1808378" cy="970106"/>
        </a:xfrm>
        <a:prstGeom prst="roundRect">
          <a:avLst>
            <a:gd name="adj" fmla="val 1245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16</xdr:col>
      <xdr:colOff>121920</xdr:colOff>
      <xdr:row>0</xdr:row>
      <xdr:rowOff>101600</xdr:rowOff>
    </xdr:from>
    <xdr:to>
      <xdr:col>25</xdr:col>
      <xdr:colOff>71121</xdr:colOff>
      <xdr:row>5</xdr:row>
      <xdr:rowOff>142240</xdr:rowOff>
    </xdr:to>
    <xdr:sp macro="" textlink="">
      <xdr:nvSpPr>
        <xdr:cNvPr id="8" name="Rectangle: Rounded Corners 7">
          <a:extLst>
            <a:ext uri="{FF2B5EF4-FFF2-40B4-BE49-F238E27FC236}">
              <a16:creationId xmlns:a16="http://schemas.microsoft.com/office/drawing/2014/main" id="{EF3BCBCA-E877-FC96-8AD7-E6D499BA9D94}"/>
            </a:ext>
          </a:extLst>
        </xdr:cNvPr>
        <xdr:cNvSpPr/>
      </xdr:nvSpPr>
      <xdr:spPr>
        <a:xfrm>
          <a:off x="9875520" y="101600"/>
          <a:ext cx="5435601" cy="955040"/>
        </a:xfrm>
        <a:prstGeom prst="roundRect">
          <a:avLst>
            <a:gd name="adj" fmla="val 718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227724</xdr:colOff>
      <xdr:row>5</xdr:row>
      <xdr:rowOff>122621</xdr:rowOff>
    </xdr:from>
    <xdr:to>
      <xdr:col>4</xdr:col>
      <xdr:colOff>262759</xdr:colOff>
      <xdr:row>11</xdr:row>
      <xdr:rowOff>26276</xdr:rowOff>
    </xdr:to>
    <xdr:sp macro="" textlink="">
      <xdr:nvSpPr>
        <xdr:cNvPr id="16" name="Rectangle: Rounded Corners 15">
          <a:extLst>
            <a:ext uri="{FF2B5EF4-FFF2-40B4-BE49-F238E27FC236}">
              <a16:creationId xmlns:a16="http://schemas.microsoft.com/office/drawing/2014/main" id="{2557D315-9D47-2181-73EE-DB2EB88948D0}"/>
            </a:ext>
          </a:extLst>
        </xdr:cNvPr>
        <xdr:cNvSpPr/>
      </xdr:nvSpPr>
      <xdr:spPr>
        <a:xfrm>
          <a:off x="227724" y="1031826"/>
          <a:ext cx="2459580" cy="994700"/>
        </a:xfrm>
        <a:prstGeom prst="roundRect">
          <a:avLst>
            <a:gd name="adj" fmla="val 1144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4</xdr:col>
      <xdr:colOff>367862</xdr:colOff>
      <xdr:row>5</xdr:row>
      <xdr:rowOff>122620</xdr:rowOff>
    </xdr:from>
    <xdr:to>
      <xdr:col>8</xdr:col>
      <xdr:colOff>499242</xdr:colOff>
      <xdr:row>11</xdr:row>
      <xdr:rowOff>26275</xdr:rowOff>
    </xdr:to>
    <xdr:sp macro="" textlink="">
      <xdr:nvSpPr>
        <xdr:cNvPr id="17" name="Rectangle: Rounded Corners 16">
          <a:extLst>
            <a:ext uri="{FF2B5EF4-FFF2-40B4-BE49-F238E27FC236}">
              <a16:creationId xmlns:a16="http://schemas.microsoft.com/office/drawing/2014/main" id="{D5CA8A7D-CED5-3834-EBA6-1DF18B147078}"/>
            </a:ext>
          </a:extLst>
        </xdr:cNvPr>
        <xdr:cNvSpPr/>
      </xdr:nvSpPr>
      <xdr:spPr>
        <a:xfrm>
          <a:off x="2792407" y="1031825"/>
          <a:ext cx="2555926" cy="994700"/>
        </a:xfrm>
        <a:prstGeom prst="roundRect">
          <a:avLst>
            <a:gd name="adj" fmla="val 883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578071</xdr:colOff>
      <xdr:row>5</xdr:row>
      <xdr:rowOff>131379</xdr:rowOff>
    </xdr:from>
    <xdr:to>
      <xdr:col>13</xdr:col>
      <xdr:colOff>8758</xdr:colOff>
      <xdr:row>11</xdr:row>
      <xdr:rowOff>35034</xdr:rowOff>
    </xdr:to>
    <xdr:sp macro="" textlink="">
      <xdr:nvSpPr>
        <xdr:cNvPr id="18" name="Rectangle: Rounded Corners 17">
          <a:extLst>
            <a:ext uri="{FF2B5EF4-FFF2-40B4-BE49-F238E27FC236}">
              <a16:creationId xmlns:a16="http://schemas.microsoft.com/office/drawing/2014/main" id="{0848A51D-C978-BF42-2AAD-81409447452A}"/>
            </a:ext>
          </a:extLst>
        </xdr:cNvPr>
        <xdr:cNvSpPr/>
      </xdr:nvSpPr>
      <xdr:spPr>
        <a:xfrm>
          <a:off x="5427162" y="1040584"/>
          <a:ext cx="2461369" cy="994700"/>
        </a:xfrm>
        <a:prstGeom prst="roundRect">
          <a:avLst>
            <a:gd name="adj" fmla="val 970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227726</xdr:colOff>
      <xdr:row>11</xdr:row>
      <xdr:rowOff>96346</xdr:rowOff>
    </xdr:from>
    <xdr:to>
      <xdr:col>13</xdr:col>
      <xdr:colOff>245241</xdr:colOff>
      <xdr:row>20</xdr:row>
      <xdr:rowOff>17518</xdr:rowOff>
    </xdr:to>
    <xdr:sp macro="" textlink="">
      <xdr:nvSpPr>
        <xdr:cNvPr id="22" name="Rectangle: Rounded Corners 21">
          <a:extLst>
            <a:ext uri="{FF2B5EF4-FFF2-40B4-BE49-F238E27FC236}">
              <a16:creationId xmlns:a16="http://schemas.microsoft.com/office/drawing/2014/main" id="{E0E7B366-B5D8-A8EE-81BE-EA439AC7F8E1}"/>
            </a:ext>
          </a:extLst>
        </xdr:cNvPr>
        <xdr:cNvSpPr/>
      </xdr:nvSpPr>
      <xdr:spPr>
        <a:xfrm>
          <a:off x="227726" y="2096596"/>
          <a:ext cx="7897288" cy="1557740"/>
        </a:xfrm>
        <a:prstGeom prst="roundRect">
          <a:avLst>
            <a:gd name="adj" fmla="val 8885"/>
          </a:avLst>
        </a:prstGeom>
        <a:solidFill>
          <a:schemeClr val="lt1">
            <a:alpha val="84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19</xdr:col>
      <xdr:colOff>201448</xdr:colOff>
      <xdr:row>5</xdr:row>
      <xdr:rowOff>166413</xdr:rowOff>
    </xdr:from>
    <xdr:to>
      <xdr:col>25</xdr:col>
      <xdr:colOff>81280</xdr:colOff>
      <xdr:row>20</xdr:row>
      <xdr:rowOff>26276</xdr:rowOff>
    </xdr:to>
    <xdr:sp macro="" textlink="">
      <xdr:nvSpPr>
        <xdr:cNvPr id="25" name="Rectangle: Rounded Corners 24">
          <a:extLst>
            <a:ext uri="{FF2B5EF4-FFF2-40B4-BE49-F238E27FC236}">
              <a16:creationId xmlns:a16="http://schemas.microsoft.com/office/drawing/2014/main" id="{34410CBB-85D9-EA30-0532-D0A8D0BA1A9C}"/>
            </a:ext>
          </a:extLst>
        </xdr:cNvPr>
        <xdr:cNvSpPr/>
      </xdr:nvSpPr>
      <xdr:spPr>
        <a:xfrm>
          <a:off x="11783848" y="1080813"/>
          <a:ext cx="3537432" cy="2603063"/>
        </a:xfrm>
        <a:prstGeom prst="roundRect">
          <a:avLst>
            <a:gd name="adj" fmla="val 461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13</xdr:col>
      <xdr:colOff>306551</xdr:colOff>
      <xdr:row>5</xdr:row>
      <xdr:rowOff>175173</xdr:rowOff>
    </xdr:from>
    <xdr:to>
      <xdr:col>19</xdr:col>
      <xdr:colOff>140136</xdr:colOff>
      <xdr:row>20</xdr:row>
      <xdr:rowOff>35035</xdr:rowOff>
    </xdr:to>
    <xdr:sp macro="" textlink="">
      <xdr:nvSpPr>
        <xdr:cNvPr id="26" name="Rectangle: Rounded Corners 25">
          <a:extLst>
            <a:ext uri="{FF2B5EF4-FFF2-40B4-BE49-F238E27FC236}">
              <a16:creationId xmlns:a16="http://schemas.microsoft.com/office/drawing/2014/main" id="{AEFECBB4-12DC-BE39-FBC7-9C606E3CD201}"/>
            </a:ext>
          </a:extLst>
        </xdr:cNvPr>
        <xdr:cNvSpPr/>
      </xdr:nvSpPr>
      <xdr:spPr>
        <a:xfrm>
          <a:off x="8255810" y="1068877"/>
          <a:ext cx="3502474" cy="2540973"/>
        </a:xfrm>
        <a:prstGeom prst="roundRect">
          <a:avLst>
            <a:gd name="adj" fmla="val 52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175858</xdr:colOff>
      <xdr:row>20</xdr:row>
      <xdr:rowOff>82331</xdr:rowOff>
    </xdr:from>
    <xdr:to>
      <xdr:col>9</xdr:col>
      <xdr:colOff>346813</xdr:colOff>
      <xdr:row>30</xdr:row>
      <xdr:rowOff>175172</xdr:rowOff>
    </xdr:to>
    <xdr:sp macro="" textlink="">
      <xdr:nvSpPr>
        <xdr:cNvPr id="27" name="Rectangle: Rounded Corners 26">
          <a:extLst>
            <a:ext uri="{FF2B5EF4-FFF2-40B4-BE49-F238E27FC236}">
              <a16:creationId xmlns:a16="http://schemas.microsoft.com/office/drawing/2014/main" id="{FE45610C-B8D6-CE7A-AE3F-A82A7557FF0B}"/>
            </a:ext>
          </a:extLst>
        </xdr:cNvPr>
        <xdr:cNvSpPr/>
      </xdr:nvSpPr>
      <xdr:spPr>
        <a:xfrm>
          <a:off x="175858" y="3769428"/>
          <a:ext cx="5701600" cy="1936389"/>
        </a:xfrm>
        <a:prstGeom prst="roundRect">
          <a:avLst>
            <a:gd name="adj" fmla="val 85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editAs="absolute">
    <xdr:from>
      <xdr:col>9</xdr:col>
      <xdr:colOff>380126</xdr:colOff>
      <xdr:row>20</xdr:row>
      <xdr:rowOff>82331</xdr:rowOff>
    </xdr:from>
    <xdr:to>
      <xdr:col>18</xdr:col>
      <xdr:colOff>516758</xdr:colOff>
      <xdr:row>30</xdr:row>
      <xdr:rowOff>175172</xdr:rowOff>
    </xdr:to>
    <xdr:sp macro="" textlink="">
      <xdr:nvSpPr>
        <xdr:cNvPr id="28" name="Rectangle: Rounded Corners 27">
          <a:extLst>
            <a:ext uri="{FF2B5EF4-FFF2-40B4-BE49-F238E27FC236}">
              <a16:creationId xmlns:a16="http://schemas.microsoft.com/office/drawing/2014/main" id="{1AF8E1C1-A46D-695B-FB61-0E40DBD14410}"/>
            </a:ext>
          </a:extLst>
        </xdr:cNvPr>
        <xdr:cNvSpPr/>
      </xdr:nvSpPr>
      <xdr:spPr>
        <a:xfrm>
          <a:off x="5835353" y="3719149"/>
          <a:ext cx="5591860" cy="1911250"/>
        </a:xfrm>
        <a:prstGeom prst="roundRect">
          <a:avLst>
            <a:gd name="adj" fmla="val 85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18</xdr:col>
      <xdr:colOff>534277</xdr:colOff>
      <xdr:row>20</xdr:row>
      <xdr:rowOff>82331</xdr:rowOff>
    </xdr:from>
    <xdr:to>
      <xdr:col>25</xdr:col>
      <xdr:colOff>70069</xdr:colOff>
      <xdr:row>30</xdr:row>
      <xdr:rowOff>175172</xdr:rowOff>
    </xdr:to>
    <xdr:sp macro="" textlink="">
      <xdr:nvSpPr>
        <xdr:cNvPr id="29" name="Rectangle: Rounded Corners 28">
          <a:extLst>
            <a:ext uri="{FF2B5EF4-FFF2-40B4-BE49-F238E27FC236}">
              <a16:creationId xmlns:a16="http://schemas.microsoft.com/office/drawing/2014/main" id="{028A34A3-87C2-737B-C7EA-BD3A93141335}"/>
            </a:ext>
          </a:extLst>
        </xdr:cNvPr>
        <xdr:cNvSpPr/>
      </xdr:nvSpPr>
      <xdr:spPr>
        <a:xfrm>
          <a:off x="11444732" y="3719149"/>
          <a:ext cx="3778746" cy="1911250"/>
        </a:xfrm>
        <a:prstGeom prst="roundRect">
          <a:avLst>
            <a:gd name="adj" fmla="val 805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210206</xdr:colOff>
      <xdr:row>0</xdr:row>
      <xdr:rowOff>105104</xdr:rowOff>
    </xdr:from>
    <xdr:to>
      <xdr:col>13</xdr:col>
      <xdr:colOff>52552</xdr:colOff>
      <xdr:row>5</xdr:row>
      <xdr:rowOff>87587</xdr:rowOff>
    </xdr:to>
    <xdr:sp macro="" textlink="">
      <xdr:nvSpPr>
        <xdr:cNvPr id="34" name="Rectangle: Rounded Corners 33">
          <a:extLst>
            <a:ext uri="{FF2B5EF4-FFF2-40B4-BE49-F238E27FC236}">
              <a16:creationId xmlns:a16="http://schemas.microsoft.com/office/drawing/2014/main" id="{6C810505-5148-9CE2-071F-0655B60EC521}"/>
            </a:ext>
          </a:extLst>
        </xdr:cNvPr>
        <xdr:cNvSpPr/>
      </xdr:nvSpPr>
      <xdr:spPr>
        <a:xfrm>
          <a:off x="210206" y="105104"/>
          <a:ext cx="7722119" cy="891688"/>
        </a:xfrm>
        <a:prstGeom prst="roundRect">
          <a:avLst>
            <a:gd name="adj" fmla="val 1181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297794</xdr:colOff>
      <xdr:row>0</xdr:row>
      <xdr:rowOff>113862</xdr:rowOff>
    </xdr:from>
    <xdr:to>
      <xdr:col>12</xdr:col>
      <xdr:colOff>481725</xdr:colOff>
      <xdr:row>3</xdr:row>
      <xdr:rowOff>52552</xdr:rowOff>
    </xdr:to>
    <xdr:sp macro="" textlink="">
      <xdr:nvSpPr>
        <xdr:cNvPr id="35" name="TextBox 34">
          <a:extLst>
            <a:ext uri="{FF2B5EF4-FFF2-40B4-BE49-F238E27FC236}">
              <a16:creationId xmlns:a16="http://schemas.microsoft.com/office/drawing/2014/main" id="{60BFFE42-F0F5-7C4A-CA63-0B93AA000389}"/>
            </a:ext>
          </a:extLst>
        </xdr:cNvPr>
        <xdr:cNvSpPr txBox="1"/>
      </xdr:nvSpPr>
      <xdr:spPr>
        <a:xfrm>
          <a:off x="910897" y="113862"/>
          <a:ext cx="6928069" cy="490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600" b="0">
              <a:latin typeface="Georgia" panose="02040502050405020303" pitchFamily="18" charset="0"/>
            </a:rPr>
            <a:t>Hospital</a:t>
          </a:r>
          <a:r>
            <a:rPr lang="en-IN" sz="2600" b="0" baseline="0">
              <a:latin typeface="Georgia" panose="02040502050405020303" pitchFamily="18" charset="0"/>
            </a:rPr>
            <a:t> Emergency Room Analysis Dashboard</a:t>
          </a:r>
          <a:endParaRPr lang="en-IN" sz="2600" b="0">
            <a:latin typeface="Georgia" panose="02040502050405020303" pitchFamily="18" charset="0"/>
          </a:endParaRPr>
        </a:p>
      </xdr:txBody>
    </xdr:sp>
    <xdr:clientData/>
  </xdr:twoCellAnchor>
  <xdr:twoCellAnchor editAs="oneCell">
    <xdr:from>
      <xdr:col>0</xdr:col>
      <xdr:colOff>315309</xdr:colOff>
      <xdr:row>1</xdr:row>
      <xdr:rowOff>70068</xdr:rowOff>
    </xdr:from>
    <xdr:to>
      <xdr:col>1</xdr:col>
      <xdr:colOff>350345</xdr:colOff>
      <xdr:row>4</xdr:row>
      <xdr:rowOff>166414</xdr:rowOff>
    </xdr:to>
    <xdr:pic>
      <xdr:nvPicPr>
        <xdr:cNvPr id="37" name="Graphic 36" descr="Building with solid fill">
          <a:extLst>
            <a:ext uri="{FF2B5EF4-FFF2-40B4-BE49-F238E27FC236}">
              <a16:creationId xmlns:a16="http://schemas.microsoft.com/office/drawing/2014/main" id="{45FEC7DB-66FC-6C09-BB2A-423365109C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5309" y="253999"/>
          <a:ext cx="648139" cy="648139"/>
        </a:xfrm>
        <a:prstGeom prst="rect">
          <a:avLst/>
        </a:prstGeom>
      </xdr:spPr>
    </xdr:pic>
    <xdr:clientData/>
  </xdr:twoCellAnchor>
  <xdr:twoCellAnchor editAs="absolute">
    <xdr:from>
      <xdr:col>4</xdr:col>
      <xdr:colOff>82333</xdr:colOff>
      <xdr:row>2</xdr:row>
      <xdr:rowOff>143641</xdr:rowOff>
    </xdr:from>
    <xdr:to>
      <xdr:col>8</xdr:col>
      <xdr:colOff>262759</xdr:colOff>
      <xdr:row>5</xdr:row>
      <xdr:rowOff>82331</xdr:rowOff>
    </xdr:to>
    <xdr:sp macro="" textlink="">
      <xdr:nvSpPr>
        <xdr:cNvPr id="38" name="TextBox 37">
          <a:extLst>
            <a:ext uri="{FF2B5EF4-FFF2-40B4-BE49-F238E27FC236}">
              <a16:creationId xmlns:a16="http://schemas.microsoft.com/office/drawing/2014/main" id="{3B644D8F-830C-6F0D-3B57-A4C4A519B027}"/>
            </a:ext>
          </a:extLst>
        </xdr:cNvPr>
        <xdr:cNvSpPr txBox="1"/>
      </xdr:nvSpPr>
      <xdr:spPr>
        <a:xfrm>
          <a:off x="2534747" y="511503"/>
          <a:ext cx="2632840" cy="490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600" b="0">
              <a:latin typeface="Georgia" panose="02040502050405020303" pitchFamily="18" charset="0"/>
            </a:rPr>
            <a:t>Monthly</a:t>
          </a:r>
          <a:r>
            <a:rPr lang="en-IN" sz="2600" b="0" baseline="0">
              <a:latin typeface="Georgia" panose="02040502050405020303" pitchFamily="18" charset="0"/>
            </a:rPr>
            <a:t> Report</a:t>
          </a:r>
          <a:endParaRPr lang="en-IN" sz="2600" b="0">
            <a:latin typeface="Georgia" panose="02040502050405020303" pitchFamily="18" charset="0"/>
          </a:endParaRPr>
        </a:p>
      </xdr:txBody>
    </xdr:sp>
    <xdr:clientData/>
  </xdr:twoCellAnchor>
  <xdr:twoCellAnchor editAs="absolute">
    <xdr:from>
      <xdr:col>1</xdr:col>
      <xdr:colOff>374879</xdr:colOff>
      <xdr:row>5</xdr:row>
      <xdr:rowOff>147141</xdr:rowOff>
    </xdr:from>
    <xdr:to>
      <xdr:col>4</xdr:col>
      <xdr:colOff>122620</xdr:colOff>
      <xdr:row>7</xdr:row>
      <xdr:rowOff>113860</xdr:rowOff>
    </xdr:to>
    <xdr:sp macro="" textlink="">
      <xdr:nvSpPr>
        <xdr:cNvPr id="39" name="TextBox 38">
          <a:extLst>
            <a:ext uri="{FF2B5EF4-FFF2-40B4-BE49-F238E27FC236}">
              <a16:creationId xmlns:a16="http://schemas.microsoft.com/office/drawing/2014/main" id="{C683E168-EA4C-A2B6-23BB-8E9033400B83}"/>
            </a:ext>
          </a:extLst>
        </xdr:cNvPr>
        <xdr:cNvSpPr txBox="1"/>
      </xdr:nvSpPr>
      <xdr:spPr>
        <a:xfrm>
          <a:off x="987982" y="1066796"/>
          <a:ext cx="1587052" cy="334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latin typeface="Georgia" panose="02040502050405020303" pitchFamily="18" charset="0"/>
            </a:rPr>
            <a:t>Total</a:t>
          </a:r>
          <a:r>
            <a:rPr lang="en-IN" sz="1600" b="0" baseline="0">
              <a:latin typeface="Georgia" panose="02040502050405020303" pitchFamily="18" charset="0"/>
            </a:rPr>
            <a:t> Patients</a:t>
          </a:r>
          <a:endParaRPr lang="en-IN" sz="1600" b="0">
            <a:latin typeface="Georgia" panose="02040502050405020303" pitchFamily="18" charset="0"/>
          </a:endParaRPr>
        </a:p>
      </xdr:txBody>
    </xdr:sp>
    <xdr:clientData/>
  </xdr:twoCellAnchor>
  <xdr:twoCellAnchor editAs="absolute">
    <xdr:from>
      <xdr:col>0</xdr:col>
      <xdr:colOff>597341</xdr:colOff>
      <xdr:row>6</xdr:row>
      <xdr:rowOff>160981</xdr:rowOff>
    </xdr:from>
    <xdr:to>
      <xdr:col>3</xdr:col>
      <xdr:colOff>467710</xdr:colOff>
      <xdr:row>8</xdr:row>
      <xdr:rowOff>127700</xdr:rowOff>
    </xdr:to>
    <xdr:sp macro="" textlink="'Pivot Report'!E3">
      <xdr:nvSpPr>
        <xdr:cNvPr id="40" name="TextBox 39">
          <a:extLst>
            <a:ext uri="{FF2B5EF4-FFF2-40B4-BE49-F238E27FC236}">
              <a16:creationId xmlns:a16="http://schemas.microsoft.com/office/drawing/2014/main" id="{34289EFA-2FBA-6A71-FE8C-CF24B305C13C}"/>
            </a:ext>
          </a:extLst>
        </xdr:cNvPr>
        <xdr:cNvSpPr txBox="1"/>
      </xdr:nvSpPr>
      <xdr:spPr>
        <a:xfrm>
          <a:off x="597341" y="1258261"/>
          <a:ext cx="1699169" cy="33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8909FFD-7FF1-444F-916F-D0272AECB44A}" type="TxLink">
            <a:rPr lang="en-US" sz="2000" b="0" i="0" u="none" strike="noStrike">
              <a:solidFill>
                <a:srgbClr val="000000"/>
              </a:solidFill>
              <a:latin typeface="Calibri"/>
              <a:ea typeface="Calibri"/>
              <a:cs typeface="Calibri"/>
            </a:rPr>
            <a:pPr algn="ctr"/>
            <a:t>513</a:t>
          </a:fld>
          <a:endParaRPr lang="en-IN" sz="2000" b="0">
            <a:latin typeface="Georgia" panose="02040502050405020303" pitchFamily="18" charset="0"/>
          </a:endParaRPr>
        </a:p>
      </xdr:txBody>
    </xdr:sp>
    <xdr:clientData/>
  </xdr:twoCellAnchor>
  <xdr:twoCellAnchor editAs="absolute">
    <xdr:from>
      <xdr:col>5</xdr:col>
      <xdr:colOff>420728</xdr:colOff>
      <xdr:row>7</xdr:row>
      <xdr:rowOff>966</xdr:rowOff>
    </xdr:from>
    <xdr:to>
      <xdr:col>7</xdr:col>
      <xdr:colOff>347241</xdr:colOff>
      <xdr:row>8</xdr:row>
      <xdr:rowOff>148755</xdr:rowOff>
    </xdr:to>
    <xdr:sp macro="" textlink="'Pivot Report'!B3">
      <xdr:nvSpPr>
        <xdr:cNvPr id="42" name="TextBox 41">
          <a:extLst>
            <a:ext uri="{FF2B5EF4-FFF2-40B4-BE49-F238E27FC236}">
              <a16:creationId xmlns:a16="http://schemas.microsoft.com/office/drawing/2014/main" id="{FBAA5B94-F01F-9B16-1729-8BCB329BDFF4}"/>
            </a:ext>
          </a:extLst>
        </xdr:cNvPr>
        <xdr:cNvSpPr txBox="1"/>
      </xdr:nvSpPr>
      <xdr:spPr>
        <a:xfrm>
          <a:off x="3459082" y="1283827"/>
          <a:ext cx="1141855" cy="33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3294016F-BE61-4BCC-9762-5BE5FFA37CCD}" type="TxLink">
            <a:rPr lang="en-US" sz="2000" b="0" i="0" u="none" strike="noStrike">
              <a:solidFill>
                <a:srgbClr val="000000"/>
              </a:solidFill>
              <a:latin typeface="Calibri"/>
              <a:ea typeface="Calibri"/>
              <a:cs typeface="Calibri"/>
            </a:rPr>
            <a:pPr marL="0" indent="0" algn="ctr"/>
            <a:t>36.32</a:t>
          </a:fld>
          <a:endParaRPr lang="en-IN" sz="2000" b="0" i="0" u="none" strike="noStrike">
            <a:solidFill>
              <a:srgbClr val="000000"/>
            </a:solidFill>
            <a:latin typeface="Calibri"/>
            <a:ea typeface="Calibri"/>
            <a:cs typeface="Calibri"/>
          </a:endParaRPr>
        </a:p>
      </xdr:txBody>
    </xdr:sp>
    <xdr:clientData/>
  </xdr:twoCellAnchor>
  <xdr:twoCellAnchor editAs="absolute">
    <xdr:from>
      <xdr:col>5</xdr:col>
      <xdr:colOff>390481</xdr:colOff>
      <xdr:row>5</xdr:row>
      <xdr:rowOff>157895</xdr:rowOff>
    </xdr:from>
    <xdr:to>
      <xdr:col>8</xdr:col>
      <xdr:colOff>260849</xdr:colOff>
      <xdr:row>7</xdr:row>
      <xdr:rowOff>127476</xdr:rowOff>
    </xdr:to>
    <xdr:sp macro="" textlink="">
      <xdr:nvSpPr>
        <xdr:cNvPr id="41" name="TextBox 40">
          <a:extLst>
            <a:ext uri="{FF2B5EF4-FFF2-40B4-BE49-F238E27FC236}">
              <a16:creationId xmlns:a16="http://schemas.microsoft.com/office/drawing/2014/main" id="{1DADB927-B60F-1D05-3E30-11D7AAB0B8AC}"/>
            </a:ext>
          </a:extLst>
        </xdr:cNvPr>
        <xdr:cNvSpPr txBox="1"/>
      </xdr:nvSpPr>
      <xdr:spPr>
        <a:xfrm>
          <a:off x="3446026" y="1063242"/>
          <a:ext cx="1703694" cy="331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latin typeface="Georgia" panose="02040502050405020303" pitchFamily="18" charset="0"/>
            </a:rPr>
            <a:t>AVG</a:t>
          </a:r>
          <a:r>
            <a:rPr lang="en-IN" sz="1600" b="0" baseline="0">
              <a:latin typeface="Georgia" panose="02040502050405020303" pitchFamily="18" charset="0"/>
            </a:rPr>
            <a:t> Wait Time</a:t>
          </a:r>
          <a:endParaRPr lang="en-IN" sz="1600" b="0">
            <a:latin typeface="Georgia" panose="02040502050405020303" pitchFamily="18" charset="0"/>
          </a:endParaRPr>
        </a:p>
      </xdr:txBody>
    </xdr:sp>
    <xdr:clientData/>
  </xdr:twoCellAnchor>
  <xdr:twoCellAnchor editAs="absolute">
    <xdr:from>
      <xdr:col>9</xdr:col>
      <xdr:colOff>522555</xdr:colOff>
      <xdr:row>5</xdr:row>
      <xdr:rowOff>171508</xdr:rowOff>
    </xdr:from>
    <xdr:to>
      <xdr:col>12</xdr:col>
      <xdr:colOff>392924</xdr:colOff>
      <xdr:row>7</xdr:row>
      <xdr:rowOff>138227</xdr:rowOff>
    </xdr:to>
    <xdr:sp macro="" textlink="">
      <xdr:nvSpPr>
        <xdr:cNvPr id="43" name="TextBox 42">
          <a:extLst>
            <a:ext uri="{FF2B5EF4-FFF2-40B4-BE49-F238E27FC236}">
              <a16:creationId xmlns:a16="http://schemas.microsoft.com/office/drawing/2014/main" id="{8955AC4A-6838-9BE3-680C-1D8174BF0E1A}"/>
            </a:ext>
          </a:extLst>
        </xdr:cNvPr>
        <xdr:cNvSpPr txBox="1"/>
      </xdr:nvSpPr>
      <xdr:spPr>
        <a:xfrm>
          <a:off x="6022535" y="1076855"/>
          <a:ext cx="1703696" cy="328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0">
              <a:latin typeface="Georgia" panose="02040502050405020303" pitchFamily="18" charset="0"/>
            </a:rPr>
            <a:t> Satisfaction Score</a:t>
          </a:r>
        </a:p>
      </xdr:txBody>
    </xdr:sp>
    <xdr:clientData/>
  </xdr:twoCellAnchor>
  <xdr:twoCellAnchor editAs="absolute">
    <xdr:from>
      <xdr:col>13</xdr:col>
      <xdr:colOff>286231</xdr:colOff>
      <xdr:row>0</xdr:row>
      <xdr:rowOff>91440</xdr:rowOff>
    </xdr:from>
    <xdr:to>
      <xdr:col>15</xdr:col>
      <xdr:colOff>438627</xdr:colOff>
      <xdr:row>2</xdr:row>
      <xdr:rowOff>73220</xdr:rowOff>
    </xdr:to>
    <xdr:sp macro="" textlink="">
      <xdr:nvSpPr>
        <xdr:cNvPr id="4" name="TextBox 3">
          <a:extLst>
            <a:ext uri="{FF2B5EF4-FFF2-40B4-BE49-F238E27FC236}">
              <a16:creationId xmlns:a16="http://schemas.microsoft.com/office/drawing/2014/main" id="{4A011F51-628F-FA88-D582-4920C8478B86}"/>
            </a:ext>
          </a:extLst>
        </xdr:cNvPr>
        <xdr:cNvSpPr txBox="1"/>
      </xdr:nvSpPr>
      <xdr:spPr>
        <a:xfrm>
          <a:off x="8211031" y="91440"/>
          <a:ext cx="1371596" cy="347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latin typeface="Segoe UI Semibold" panose="020B0702040204020203" pitchFamily="34" charset="0"/>
              <a:cs typeface="Segoe UI Semibold" panose="020B0702040204020203" pitchFamily="34" charset="0"/>
            </a:rPr>
            <a:t>Year</a:t>
          </a:r>
        </a:p>
      </xdr:txBody>
    </xdr:sp>
    <xdr:clientData/>
  </xdr:twoCellAnchor>
  <xdr:twoCellAnchor editAs="absolute">
    <xdr:from>
      <xdr:col>10</xdr:col>
      <xdr:colOff>15090</xdr:colOff>
      <xdr:row>7</xdr:row>
      <xdr:rowOff>175</xdr:rowOff>
    </xdr:from>
    <xdr:to>
      <xdr:col>11</xdr:col>
      <xdr:colOff>555645</xdr:colOff>
      <xdr:row>8</xdr:row>
      <xdr:rowOff>148498</xdr:rowOff>
    </xdr:to>
    <xdr:sp macro="" textlink="'Pivot Report'!H3">
      <xdr:nvSpPr>
        <xdr:cNvPr id="44" name="TextBox 43">
          <a:extLst>
            <a:ext uri="{FF2B5EF4-FFF2-40B4-BE49-F238E27FC236}">
              <a16:creationId xmlns:a16="http://schemas.microsoft.com/office/drawing/2014/main" id="{DECC982D-E0C9-96E3-BE4F-BF497C199032}"/>
            </a:ext>
          </a:extLst>
        </xdr:cNvPr>
        <xdr:cNvSpPr txBox="1"/>
      </xdr:nvSpPr>
      <xdr:spPr>
        <a:xfrm>
          <a:off x="6126179" y="1265332"/>
          <a:ext cx="1151664" cy="331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0CAAFF69-A579-4FB1-B358-90F19CBC179A}" type="TxLink">
            <a:rPr lang="en-US" sz="2000" b="0" i="0" u="none" strike="noStrike">
              <a:solidFill>
                <a:srgbClr val="000000"/>
              </a:solidFill>
              <a:latin typeface="Calibri"/>
              <a:ea typeface="Calibri"/>
              <a:cs typeface="Calibri"/>
            </a:rPr>
            <a:pPr marL="0" indent="0" algn="ctr"/>
            <a:t>4.96</a:t>
          </a:fld>
          <a:endParaRPr lang="en-IN" sz="2000" b="0" i="0" u="none" strike="noStrike">
            <a:solidFill>
              <a:srgbClr val="000000"/>
            </a:solidFill>
            <a:latin typeface="Calibri"/>
            <a:ea typeface="Calibri"/>
            <a:cs typeface="Calibri"/>
          </a:endParaRPr>
        </a:p>
      </xdr:txBody>
    </xdr:sp>
    <xdr:clientData/>
  </xdr:twoCellAnchor>
  <xdr:twoCellAnchor editAs="absolute">
    <xdr:from>
      <xdr:col>19</xdr:col>
      <xdr:colOff>263455</xdr:colOff>
      <xdr:row>0</xdr:row>
      <xdr:rowOff>66556</xdr:rowOff>
    </xdr:from>
    <xdr:to>
      <xdr:col>21</xdr:col>
      <xdr:colOff>415852</xdr:colOff>
      <xdr:row>2</xdr:row>
      <xdr:rowOff>47285</xdr:rowOff>
    </xdr:to>
    <xdr:sp macro="" textlink="">
      <xdr:nvSpPr>
        <xdr:cNvPr id="7" name="TextBox 6">
          <a:extLst>
            <a:ext uri="{FF2B5EF4-FFF2-40B4-BE49-F238E27FC236}">
              <a16:creationId xmlns:a16="http://schemas.microsoft.com/office/drawing/2014/main" id="{3D30E831-2820-7EBC-84B8-89330039F621}"/>
            </a:ext>
          </a:extLst>
        </xdr:cNvPr>
        <xdr:cNvSpPr txBox="1"/>
      </xdr:nvSpPr>
      <xdr:spPr>
        <a:xfrm>
          <a:off x="11845855" y="66556"/>
          <a:ext cx="1371597" cy="346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a:latin typeface="Segoe UI Semibold" panose="020B0702040204020203" pitchFamily="34" charset="0"/>
              <a:cs typeface="Segoe UI Semibold" panose="020B0702040204020203" pitchFamily="34" charset="0"/>
            </a:rPr>
            <a:t>Month</a:t>
          </a:r>
        </a:p>
      </xdr:txBody>
    </xdr:sp>
    <xdr:clientData/>
  </xdr:twoCellAnchor>
  <xdr:twoCellAnchor editAs="oneCell">
    <xdr:from>
      <xdr:col>0</xdr:col>
      <xdr:colOff>411657</xdr:colOff>
      <xdr:row>5</xdr:row>
      <xdr:rowOff>87586</xdr:rowOff>
    </xdr:from>
    <xdr:to>
      <xdr:col>1</xdr:col>
      <xdr:colOff>289037</xdr:colOff>
      <xdr:row>8</xdr:row>
      <xdr:rowOff>26276</xdr:rowOff>
    </xdr:to>
    <xdr:pic>
      <xdr:nvPicPr>
        <xdr:cNvPr id="21" name="Graphic 20" descr="Users with solid fill">
          <a:extLst>
            <a:ext uri="{FF2B5EF4-FFF2-40B4-BE49-F238E27FC236}">
              <a16:creationId xmlns:a16="http://schemas.microsoft.com/office/drawing/2014/main" id="{AE0B29C2-640E-83D4-491B-EAB49BA72F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1657" y="1007241"/>
          <a:ext cx="490483" cy="490483"/>
        </a:xfrm>
        <a:prstGeom prst="rect">
          <a:avLst/>
        </a:prstGeom>
      </xdr:spPr>
    </xdr:pic>
    <xdr:clientData/>
  </xdr:twoCellAnchor>
  <xdr:twoCellAnchor editAs="oneCell">
    <xdr:from>
      <xdr:col>9</xdr:col>
      <xdr:colOff>43793</xdr:colOff>
      <xdr:row>5</xdr:row>
      <xdr:rowOff>145772</xdr:rowOff>
    </xdr:from>
    <xdr:to>
      <xdr:col>9</xdr:col>
      <xdr:colOff>463776</xdr:colOff>
      <xdr:row>7</xdr:row>
      <xdr:rowOff>172048</xdr:rowOff>
    </xdr:to>
    <xdr:pic>
      <xdr:nvPicPr>
        <xdr:cNvPr id="13" name="Graphic 12" descr="Star with solid fill">
          <a:extLst>
            <a:ext uri="{FF2B5EF4-FFF2-40B4-BE49-F238E27FC236}">
              <a16:creationId xmlns:a16="http://schemas.microsoft.com/office/drawing/2014/main" id="{ACED5371-70FC-B6E2-E077-CDA83528BD8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43773" y="1051119"/>
          <a:ext cx="419983" cy="388414"/>
        </a:xfrm>
        <a:prstGeom prst="rect">
          <a:avLst/>
        </a:prstGeom>
      </xdr:spPr>
    </xdr:pic>
    <xdr:clientData/>
  </xdr:twoCellAnchor>
  <xdr:twoCellAnchor editAs="oneCell">
    <xdr:from>
      <xdr:col>4</xdr:col>
      <xdr:colOff>537200</xdr:colOff>
      <xdr:row>5</xdr:row>
      <xdr:rowOff>135020</xdr:rowOff>
    </xdr:from>
    <xdr:to>
      <xdr:col>5</xdr:col>
      <xdr:colOff>385638</xdr:colOff>
      <xdr:row>8</xdr:row>
      <xdr:rowOff>45268</xdr:rowOff>
    </xdr:to>
    <xdr:pic>
      <xdr:nvPicPr>
        <xdr:cNvPr id="19" name="Graphic 18" descr="Stopwatch with solid fill">
          <a:extLst>
            <a:ext uri="{FF2B5EF4-FFF2-40B4-BE49-F238E27FC236}">
              <a16:creationId xmlns:a16="http://schemas.microsoft.com/office/drawing/2014/main" id="{3BF5BE69-4563-9EC5-1DEF-72BF892E75A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81636" y="1040367"/>
          <a:ext cx="459547" cy="453455"/>
        </a:xfrm>
        <a:prstGeom prst="rect">
          <a:avLst/>
        </a:prstGeom>
      </xdr:spPr>
    </xdr:pic>
    <xdr:clientData/>
  </xdr:twoCellAnchor>
  <xdr:twoCellAnchor>
    <xdr:from>
      <xdr:col>26</xdr:col>
      <xdr:colOff>357351</xdr:colOff>
      <xdr:row>7</xdr:row>
      <xdr:rowOff>10861</xdr:rowOff>
    </xdr:from>
    <xdr:to>
      <xdr:col>28</xdr:col>
      <xdr:colOff>418662</xdr:colOff>
      <xdr:row>9</xdr:row>
      <xdr:rowOff>2102</xdr:rowOff>
    </xdr:to>
    <xdr:sp macro="" textlink="">
      <xdr:nvSpPr>
        <xdr:cNvPr id="30" name="TextBox 29">
          <a:extLst>
            <a:ext uri="{FF2B5EF4-FFF2-40B4-BE49-F238E27FC236}">
              <a16:creationId xmlns:a16="http://schemas.microsoft.com/office/drawing/2014/main" id="{33B7D520-28B8-F71C-FE26-7E1F30079C58}"/>
            </a:ext>
          </a:extLst>
        </xdr:cNvPr>
        <xdr:cNvSpPr txBox="1"/>
      </xdr:nvSpPr>
      <xdr:spPr>
        <a:xfrm>
          <a:off x="16206951" y="1291021"/>
          <a:ext cx="1280511" cy="357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absolute">
    <xdr:from>
      <xdr:col>16</xdr:col>
      <xdr:colOff>159926</xdr:colOff>
      <xdr:row>2</xdr:row>
      <xdr:rowOff>20320</xdr:rowOff>
    </xdr:from>
    <xdr:to>
      <xdr:col>25</xdr:col>
      <xdr:colOff>47037</xdr:colOff>
      <xdr:row>5</xdr:row>
      <xdr:rowOff>152400</xdr:rowOff>
    </xdr:to>
    <mc:AlternateContent xmlns:mc="http://schemas.openxmlformats.org/markup-compatibility/2006" xmlns:a14="http://schemas.microsoft.com/office/drawing/2010/main">
      <mc:Choice Requires="a14">
        <xdr:graphicFrame macro="">
          <xdr:nvGraphicFramePr>
            <xdr:cNvPr id="20" name="Date (Month) 1">
              <a:extLst>
                <a:ext uri="{FF2B5EF4-FFF2-40B4-BE49-F238E27FC236}">
                  <a16:creationId xmlns:a16="http://schemas.microsoft.com/office/drawing/2014/main" id="{0E8769C0-2531-4FE7-82BA-FC1A5B37B0C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9937669" y="382459"/>
              <a:ext cx="5387091" cy="675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122268</xdr:colOff>
      <xdr:row>2</xdr:row>
      <xdr:rowOff>50800</xdr:rowOff>
    </xdr:from>
    <xdr:to>
      <xdr:col>16</xdr:col>
      <xdr:colOff>20320</xdr:colOff>
      <xdr:row>5</xdr:row>
      <xdr:rowOff>12261</xdr:rowOff>
    </xdr:to>
    <mc:AlternateContent xmlns:mc="http://schemas.openxmlformats.org/markup-compatibility/2006" xmlns:a14="http://schemas.microsoft.com/office/drawing/2010/main">
      <mc:Choice Requires="a14">
        <xdr:graphicFrame macro="">
          <xdr:nvGraphicFramePr>
            <xdr:cNvPr id="14" name="Date (Year)">
              <a:extLst>
                <a:ext uri="{FF2B5EF4-FFF2-40B4-BE49-F238E27FC236}">
                  <a16:creationId xmlns:a16="http://schemas.microsoft.com/office/drawing/2014/main" id="{A7F0916F-1271-4EF6-BDCA-768FD073646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8066684" y="412939"/>
              <a:ext cx="1731379" cy="504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303056</xdr:colOff>
      <xdr:row>8</xdr:row>
      <xdr:rowOff>41188</xdr:rowOff>
    </xdr:from>
    <xdr:to>
      <xdr:col>4</xdr:col>
      <xdr:colOff>251604</xdr:colOff>
      <xdr:row>11</xdr:row>
      <xdr:rowOff>0</xdr:rowOff>
    </xdr:to>
    <xdr:graphicFrame macro="">
      <xdr:nvGraphicFramePr>
        <xdr:cNvPr id="24" name="Chart 23">
          <a:hlinkClick xmlns:r="http://schemas.openxmlformats.org/officeDocument/2006/relationships" r:id="rId9"/>
          <a:extLst>
            <a:ext uri="{FF2B5EF4-FFF2-40B4-BE49-F238E27FC236}">
              <a16:creationId xmlns:a16="http://schemas.microsoft.com/office/drawing/2014/main" id="{250D698D-06F7-4841-8A2F-42A8FCD0F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376687</xdr:colOff>
      <xdr:row>8</xdr:row>
      <xdr:rowOff>20639</xdr:rowOff>
    </xdr:from>
    <xdr:to>
      <xdr:col>8</xdr:col>
      <xdr:colOff>497457</xdr:colOff>
      <xdr:row>11</xdr:row>
      <xdr:rowOff>12039</xdr:rowOff>
    </xdr:to>
    <xdr:graphicFrame macro="">
      <xdr:nvGraphicFramePr>
        <xdr:cNvPr id="33" name="avg waittime chart">
          <a:hlinkClick xmlns:r="http://schemas.openxmlformats.org/officeDocument/2006/relationships" r:id="rId11"/>
          <a:extLst>
            <a:ext uri="{FF2B5EF4-FFF2-40B4-BE49-F238E27FC236}">
              <a16:creationId xmlns:a16="http://schemas.microsoft.com/office/drawing/2014/main" id="{FDCB59CB-ADCB-4904-999B-55225ECA4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560753</xdr:colOff>
      <xdr:row>7</xdr:row>
      <xdr:rowOff>147204</xdr:rowOff>
    </xdr:from>
    <xdr:to>
      <xdr:col>13</xdr:col>
      <xdr:colOff>8659</xdr:colOff>
      <xdr:row>11</xdr:row>
      <xdr:rowOff>34635</xdr:rowOff>
    </xdr:to>
    <xdr:graphicFrame macro="">
      <xdr:nvGraphicFramePr>
        <xdr:cNvPr id="2" name="Chart 1">
          <a:hlinkClick xmlns:r="http://schemas.openxmlformats.org/officeDocument/2006/relationships" r:id="rId13"/>
          <a:extLst>
            <a:ext uri="{FF2B5EF4-FFF2-40B4-BE49-F238E27FC236}">
              <a16:creationId xmlns:a16="http://schemas.microsoft.com/office/drawing/2014/main" id="{968468CF-91C1-4D49-91A8-62C456918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255947</xdr:colOff>
      <xdr:row>11</xdr:row>
      <xdr:rowOff>85618</xdr:rowOff>
    </xdr:from>
    <xdr:to>
      <xdr:col>13</xdr:col>
      <xdr:colOff>206963</xdr:colOff>
      <xdr:row>20</xdr:row>
      <xdr:rowOff>28222</xdr:rowOff>
    </xdr:to>
    <xdr:graphicFrame macro="">
      <xdr:nvGraphicFramePr>
        <xdr:cNvPr id="11" name="PATIENTS TREND(DAILY) Chart">
          <a:extLst>
            <a:ext uri="{FF2B5EF4-FFF2-40B4-BE49-F238E27FC236}">
              <a16:creationId xmlns:a16="http://schemas.microsoft.com/office/drawing/2014/main" id="{C142A1C0-3333-40B1-968C-7A0DFFC3F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381000</xdr:colOff>
      <xdr:row>20</xdr:row>
      <xdr:rowOff>85725</xdr:rowOff>
    </xdr:from>
    <xdr:to>
      <xdr:col>18</xdr:col>
      <xdr:colOff>530038</xdr:colOff>
      <xdr:row>31</xdr:row>
      <xdr:rowOff>24598</xdr:rowOff>
    </xdr:to>
    <xdr:graphicFrame macro="">
      <xdr:nvGraphicFramePr>
        <xdr:cNvPr id="23" name="patient by Age Group chart">
          <a:extLst>
            <a:ext uri="{FF2B5EF4-FFF2-40B4-BE49-F238E27FC236}">
              <a16:creationId xmlns:a16="http://schemas.microsoft.com/office/drawing/2014/main" id="{FE326E09-A5DA-4CEB-B469-572137C11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331010</xdr:colOff>
      <xdr:row>6</xdr:row>
      <xdr:rowOff>20006</xdr:rowOff>
    </xdr:from>
    <xdr:to>
      <xdr:col>19</xdr:col>
      <xdr:colOff>125506</xdr:colOff>
      <xdr:row>20</xdr:row>
      <xdr:rowOff>53788</xdr:rowOff>
    </xdr:to>
    <xdr:graphicFrame macro="">
      <xdr:nvGraphicFramePr>
        <xdr:cNvPr id="31" name="Patient Attended Within Time">
          <a:extLst>
            <a:ext uri="{FF2B5EF4-FFF2-40B4-BE49-F238E27FC236}">
              <a16:creationId xmlns:a16="http://schemas.microsoft.com/office/drawing/2014/main" id="{BAAD8343-45D2-46CC-A008-5B8216016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17</xdr:col>
      <xdr:colOff>303113</xdr:colOff>
      <xdr:row>9</xdr:row>
      <xdr:rowOff>166953</xdr:rowOff>
    </xdr:from>
    <xdr:to>
      <xdr:col>17</xdr:col>
      <xdr:colOff>480333</xdr:colOff>
      <xdr:row>10</xdr:row>
      <xdr:rowOff>164034</xdr:rowOff>
    </xdr:to>
    <xdr:pic>
      <xdr:nvPicPr>
        <xdr:cNvPr id="32" name="Graphic 31" descr="Water with solid fill">
          <a:extLst>
            <a:ext uri="{FF2B5EF4-FFF2-40B4-BE49-F238E27FC236}">
              <a16:creationId xmlns:a16="http://schemas.microsoft.com/office/drawing/2014/main" id="{E542554E-4753-41A8-9704-4D9465F92E5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712577" y="1820221"/>
          <a:ext cx="177220" cy="180777"/>
        </a:xfrm>
        <a:prstGeom prst="rect">
          <a:avLst/>
        </a:prstGeom>
      </xdr:spPr>
    </xdr:pic>
    <xdr:clientData/>
  </xdr:twoCellAnchor>
  <xdr:twoCellAnchor editAs="oneCell">
    <xdr:from>
      <xdr:col>17</xdr:col>
      <xdr:colOff>319439</xdr:colOff>
      <xdr:row>13</xdr:row>
      <xdr:rowOff>60820</xdr:rowOff>
    </xdr:from>
    <xdr:to>
      <xdr:col>17</xdr:col>
      <xdr:colOff>496659</xdr:colOff>
      <xdr:row>14</xdr:row>
      <xdr:rowOff>57901</xdr:rowOff>
    </xdr:to>
    <xdr:pic>
      <xdr:nvPicPr>
        <xdr:cNvPr id="36" name="Graphic 35" descr="Water with solid fill">
          <a:extLst>
            <a:ext uri="{FF2B5EF4-FFF2-40B4-BE49-F238E27FC236}">
              <a16:creationId xmlns:a16="http://schemas.microsoft.com/office/drawing/2014/main" id="{15BE6B6C-14F7-EEC0-F985-1FE23B88685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0728903" y="2448874"/>
          <a:ext cx="177220" cy="180777"/>
        </a:xfrm>
        <a:prstGeom prst="rect">
          <a:avLst/>
        </a:prstGeom>
      </xdr:spPr>
    </xdr:pic>
    <xdr:clientData/>
  </xdr:twoCellAnchor>
  <xdr:twoCellAnchor>
    <xdr:from>
      <xdr:col>19</xdr:col>
      <xdr:colOff>212361</xdr:colOff>
      <xdr:row>6</xdr:row>
      <xdr:rowOff>18739</xdr:rowOff>
    </xdr:from>
    <xdr:to>
      <xdr:col>25</xdr:col>
      <xdr:colOff>62459</xdr:colOff>
      <xdr:row>19</xdr:row>
      <xdr:rowOff>168640</xdr:rowOff>
    </xdr:to>
    <xdr:graphicFrame macro="">
      <xdr:nvGraphicFramePr>
        <xdr:cNvPr id="10" name="Patient By Gender Chart">
          <a:extLst>
            <a:ext uri="{FF2B5EF4-FFF2-40B4-BE49-F238E27FC236}">
              <a16:creationId xmlns:a16="http://schemas.microsoft.com/office/drawing/2014/main" id="{1B1EBD94-D527-45BB-8707-21C0222C3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521917</xdr:colOff>
      <xdr:row>20</xdr:row>
      <xdr:rowOff>62025</xdr:rowOff>
    </xdr:from>
    <xdr:to>
      <xdr:col>25</xdr:col>
      <xdr:colOff>70121</xdr:colOff>
      <xdr:row>30</xdr:row>
      <xdr:rowOff>150629</xdr:rowOff>
    </xdr:to>
    <xdr:graphicFrame macro="">
      <xdr:nvGraphicFramePr>
        <xdr:cNvPr id="12" name="Department Referral chart">
          <a:extLst>
            <a:ext uri="{FF2B5EF4-FFF2-40B4-BE49-F238E27FC236}">
              <a16:creationId xmlns:a16="http://schemas.microsoft.com/office/drawing/2014/main" id="{AAEDD4C4-37DA-409E-832A-33EBA5A9E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253023</xdr:colOff>
      <xdr:row>20</xdr:row>
      <xdr:rowOff>94467</xdr:rowOff>
    </xdr:from>
    <xdr:to>
      <xdr:col>9</xdr:col>
      <xdr:colOff>308659</xdr:colOff>
      <xdr:row>31</xdr:row>
      <xdr:rowOff>0</xdr:rowOff>
    </xdr:to>
    <xdr:graphicFrame macro="">
      <xdr:nvGraphicFramePr>
        <xdr:cNvPr id="9" name="ADMISSION STATUS">
          <a:extLst>
            <a:ext uri="{FF2B5EF4-FFF2-40B4-BE49-F238E27FC236}">
              <a16:creationId xmlns:a16="http://schemas.microsoft.com/office/drawing/2014/main" id="{18766B14-B4AB-41D2-97D2-228A4D6AC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absolute">
    <xdr:from>
      <xdr:col>7</xdr:col>
      <xdr:colOff>38582</xdr:colOff>
      <xdr:row>7</xdr:row>
      <xdr:rowOff>8682</xdr:rowOff>
    </xdr:from>
    <xdr:to>
      <xdr:col>7</xdr:col>
      <xdr:colOff>509286</xdr:colOff>
      <xdr:row>8</xdr:row>
      <xdr:rowOff>156471</xdr:rowOff>
    </xdr:to>
    <xdr:sp macro="" textlink="'Pivot Report'!Q22">
      <xdr:nvSpPr>
        <xdr:cNvPr id="15" name="TextBox 14">
          <a:extLst>
            <a:ext uri="{FF2B5EF4-FFF2-40B4-BE49-F238E27FC236}">
              <a16:creationId xmlns:a16="http://schemas.microsoft.com/office/drawing/2014/main" id="{65CBEA1F-EFB4-E7C8-2A2E-D87D9FDFB045}"/>
            </a:ext>
          </a:extLst>
        </xdr:cNvPr>
        <xdr:cNvSpPr txBox="1"/>
      </xdr:nvSpPr>
      <xdr:spPr>
        <a:xfrm>
          <a:off x="4292278" y="1291543"/>
          <a:ext cx="470704" cy="331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a:fld id="{56BB5EA6-4A25-4953-83A9-C54122EB3613}" type="TxLink">
            <a:rPr lang="en-US" sz="1600" b="0" i="0" u="none" strike="noStrike">
              <a:solidFill>
                <a:srgbClr val="000000"/>
              </a:solidFill>
              <a:latin typeface="Calibri"/>
              <a:ea typeface="Calibri"/>
              <a:cs typeface="Calibri"/>
            </a:rPr>
            <a:pPr marL="0" indent="0" algn="ctr"/>
            <a:t>min</a:t>
          </a:fld>
          <a:endParaRPr lang="en-IN" sz="3200" b="0" i="0" u="none" strike="noStrike">
            <a:solidFill>
              <a:srgbClr val="000000"/>
            </a:solidFill>
            <a:latin typeface="Calibri"/>
            <a:ea typeface="Calibri"/>
            <a:cs typeface="Calibri"/>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0.76028</cdr:x>
      <cdr:y>0.23224</cdr:y>
    </cdr:from>
    <cdr:to>
      <cdr:x>0.97123</cdr:x>
      <cdr:y>0.33063</cdr:y>
    </cdr:to>
    <cdr:sp macro="" textlink="">
      <cdr:nvSpPr>
        <cdr:cNvPr id="6" name="TextBox 5">
          <a:extLst xmlns:a="http://schemas.openxmlformats.org/drawingml/2006/main">
            <a:ext uri="{FF2B5EF4-FFF2-40B4-BE49-F238E27FC236}">
              <a16:creationId xmlns:a16="http://schemas.microsoft.com/office/drawing/2014/main" id="{57D38068-EF41-1501-655A-8EA16B14C7DD}"/>
            </a:ext>
          </a:extLst>
        </cdr:cNvPr>
        <cdr:cNvSpPr txBox="1"/>
      </cdr:nvSpPr>
      <cdr:spPr>
        <a:xfrm xmlns:a="http://schemas.openxmlformats.org/drawingml/2006/main">
          <a:off x="1713498" y="365410"/>
          <a:ext cx="475435" cy="15480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0.7222</cdr:x>
      <cdr:y>0.32094</cdr:y>
    </cdr:from>
    <cdr:to>
      <cdr:x>1</cdr:x>
      <cdr:y>0.43183</cdr:y>
    </cdr:to>
    <cdr:sp macro="" textlink="'Pivot Report'!$R$20">
      <cdr:nvSpPr>
        <cdr:cNvPr id="7" name="TextBox 6">
          <a:extLst xmlns:a="http://schemas.openxmlformats.org/drawingml/2006/main">
            <a:ext uri="{FF2B5EF4-FFF2-40B4-BE49-F238E27FC236}">
              <a16:creationId xmlns:a16="http://schemas.microsoft.com/office/drawing/2014/main" id="{A72A45A6-9375-3E63-6F9D-62832C2FFB45}"/>
            </a:ext>
          </a:extLst>
        </cdr:cNvPr>
        <cdr:cNvSpPr txBox="1"/>
      </cdr:nvSpPr>
      <cdr:spPr>
        <a:xfrm xmlns:a="http://schemas.openxmlformats.org/drawingml/2006/main">
          <a:off x="1622901" y="500596"/>
          <a:ext cx="624262" cy="1729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BCB1A53-6615-48C5-B3DC-62B6309BF8DF}" type="TxLink">
            <a:rPr lang="en-US" sz="1300" b="0" i="0" u="none" strike="noStrike" kern="1200">
              <a:solidFill>
                <a:srgbClr val="000000"/>
              </a:solidFill>
              <a:latin typeface="Segoe UI Semibold" panose="020B0702040204020203" pitchFamily="34" charset="0"/>
              <a:ea typeface="Calibri"/>
              <a:cs typeface="Segoe UI Semibold" panose="020B0702040204020203" pitchFamily="34" charset="0"/>
            </a:rPr>
            <a:pPr/>
            <a:t>38% (197)</a:t>
          </a:fld>
          <a:endParaRPr lang="en-IN" sz="1300" kern="1200">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0.7222</cdr:x>
      <cdr:y>0.57345</cdr:y>
    </cdr:from>
    <cdr:to>
      <cdr:x>1</cdr:x>
      <cdr:y>0.68434</cdr:y>
    </cdr:to>
    <cdr:sp macro="" textlink="'Pivot Report'!$R$21">
      <cdr:nvSpPr>
        <cdr:cNvPr id="8" name="TextBox 7">
          <a:extLst xmlns:a="http://schemas.openxmlformats.org/drawingml/2006/main">
            <a:ext uri="{FF2B5EF4-FFF2-40B4-BE49-F238E27FC236}">
              <a16:creationId xmlns:a16="http://schemas.microsoft.com/office/drawing/2014/main" id="{89B41CAC-C09F-CB03-ACA0-60A026C5902F}"/>
            </a:ext>
          </a:extLst>
        </cdr:cNvPr>
        <cdr:cNvSpPr txBox="1"/>
      </cdr:nvSpPr>
      <cdr:spPr>
        <a:xfrm xmlns:a="http://schemas.openxmlformats.org/drawingml/2006/main">
          <a:off x="1622901" y="894468"/>
          <a:ext cx="624262" cy="1729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02F2CBB-6AEF-4A9C-9971-FF2CCAC82196}" type="TxLink">
            <a:rPr lang="en-US" sz="1300" b="0" i="0" u="none" strike="noStrike" kern="1200">
              <a:solidFill>
                <a:srgbClr val="000000"/>
              </a:solidFill>
              <a:latin typeface="Segoe UI Semibold" panose="020B0702040204020203" pitchFamily="34" charset="0"/>
              <a:ea typeface="Calibri"/>
              <a:cs typeface="Segoe UI Semibold" panose="020B0702040204020203" pitchFamily="34" charset="0"/>
            </a:rPr>
            <a:pPr/>
            <a:t>62% (316)</a:t>
          </a:fld>
          <a:endParaRPr lang="en-IN" sz="1300" kern="1200">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0.71666</cdr:x>
      <cdr:y>0.24357</cdr:y>
    </cdr:from>
    <cdr:to>
      <cdr:x>0.98204</cdr:x>
      <cdr:y>0.35446</cdr:y>
    </cdr:to>
    <cdr:sp macro="" textlink="'Pivot Report'!$Q$20">
      <cdr:nvSpPr>
        <cdr:cNvPr id="9" name="TextBox 8">
          <a:extLst xmlns:a="http://schemas.openxmlformats.org/drawingml/2006/main">
            <a:ext uri="{FF2B5EF4-FFF2-40B4-BE49-F238E27FC236}">
              <a16:creationId xmlns:a16="http://schemas.microsoft.com/office/drawing/2014/main" id="{B31E3AFD-7F89-2BC0-00AF-5D9F257F8939}"/>
            </a:ext>
          </a:extLst>
        </cdr:cNvPr>
        <cdr:cNvSpPr txBox="1"/>
      </cdr:nvSpPr>
      <cdr:spPr>
        <a:xfrm xmlns:a="http://schemas.openxmlformats.org/drawingml/2006/main">
          <a:off x="1614345" y="377151"/>
          <a:ext cx="597784" cy="17170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6423B2C2-4618-4D8F-B231-EADF813EE012}" type="TxLink">
            <a:rPr lang="en-US" sz="1400" b="1" i="0" u="none" strike="noStrike" kern="1200">
              <a:solidFill>
                <a:srgbClr val="000000"/>
              </a:solidFill>
              <a:latin typeface="Segoe UI Semibold" panose="020B0702040204020203" pitchFamily="34" charset="0"/>
              <a:ea typeface="Calibri"/>
              <a:cs typeface="Segoe UI Semibold" panose="020B0702040204020203" pitchFamily="34" charset="0"/>
            </a:rPr>
            <a:pPr algn="ctr"/>
            <a:t>On-Time </a:t>
          </a:fld>
          <a:endParaRPr lang="en-IN" sz="1400" b="1" kern="1200">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0.71369</cdr:x>
      <cdr:y>0.4841</cdr:y>
    </cdr:from>
    <cdr:to>
      <cdr:x>0.92038</cdr:x>
      <cdr:y>0.59499</cdr:y>
    </cdr:to>
    <cdr:sp macro="" textlink="'Pivot Report'!$Q$21">
      <cdr:nvSpPr>
        <cdr:cNvPr id="10" name="TextBox 9">
          <a:extLst xmlns:a="http://schemas.openxmlformats.org/drawingml/2006/main">
            <a:ext uri="{FF2B5EF4-FFF2-40B4-BE49-F238E27FC236}">
              <a16:creationId xmlns:a16="http://schemas.microsoft.com/office/drawing/2014/main" id="{9D83BB3B-4527-B285-C5F3-7CC8F744C9FC}"/>
            </a:ext>
          </a:extLst>
        </cdr:cNvPr>
        <cdr:cNvSpPr txBox="1"/>
      </cdr:nvSpPr>
      <cdr:spPr>
        <a:xfrm xmlns:a="http://schemas.openxmlformats.org/drawingml/2006/main">
          <a:off x="1607640" y="749592"/>
          <a:ext cx="465589" cy="17170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BED71BD0-F1A5-4FF3-A303-8BE100617E4E}" type="TxLink">
            <a:rPr lang="en-US" sz="1600" b="0" i="0" u="none" strike="noStrike" kern="1200">
              <a:solidFill>
                <a:srgbClr val="000000"/>
              </a:solidFill>
              <a:latin typeface="Segoe UI Semibold"/>
              <a:cs typeface="Segoe UI Semibold"/>
            </a:rPr>
            <a:pPr algn="ctr"/>
            <a:t>Delay </a:t>
          </a:fld>
          <a:endParaRPr lang="en-US" sz="1600" b="1" i="0" u="none" strike="noStrike" kern="1200">
            <a:solidFill>
              <a:srgbClr val="000000"/>
            </a:solidFill>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0.27893</cdr:x>
      <cdr:y>0.41166</cdr:y>
    </cdr:from>
    <cdr:to>
      <cdr:x>0.41466</cdr:x>
      <cdr:y>0.60608</cdr:y>
    </cdr:to>
    <cdr:pic>
      <cdr:nvPicPr>
        <cdr:cNvPr id="12" name="Graphic 11" descr="Hourglass Finished with solid fill">
          <a:extLst xmlns:a="http://schemas.openxmlformats.org/drawingml/2006/main">
            <a:ext uri="{FF2B5EF4-FFF2-40B4-BE49-F238E27FC236}">
              <a16:creationId xmlns:a16="http://schemas.microsoft.com/office/drawing/2014/main" id="{E8C743C2-5E84-99DB-5087-10F09C8A152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28650" y="647700"/>
          <a:ext cx="305895" cy="305895"/>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0.76064</cdr:x>
      <cdr:y>0.25343</cdr:y>
    </cdr:from>
    <cdr:to>
      <cdr:x>0.98404</cdr:x>
      <cdr:y>0.35992</cdr:y>
    </cdr:to>
    <cdr:sp macro="" textlink="">
      <cdr:nvSpPr>
        <cdr:cNvPr id="2" name="TextBox 1">
          <a:extLst xmlns:a="http://schemas.openxmlformats.org/drawingml/2006/main">
            <a:ext uri="{FF2B5EF4-FFF2-40B4-BE49-F238E27FC236}">
              <a16:creationId xmlns:a16="http://schemas.microsoft.com/office/drawing/2014/main" id="{6CCE87F7-06E6-E8EC-8BC2-F3B24E789487}"/>
            </a:ext>
          </a:extLst>
        </cdr:cNvPr>
        <cdr:cNvSpPr txBox="1"/>
      </cdr:nvSpPr>
      <cdr:spPr>
        <a:xfrm xmlns:a="http://schemas.openxmlformats.org/drawingml/2006/main">
          <a:off x="2679492" y="634746"/>
          <a:ext cx="786984" cy="26671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IN" sz="1400" b="1" kern="1200">
              <a:latin typeface="Segoe UI Semibold" panose="020B0702040204020203" pitchFamily="34" charset="0"/>
              <a:cs typeface="Segoe UI Semibold" panose="020B0702040204020203" pitchFamily="34" charset="0"/>
            </a:rPr>
            <a:t>Female</a:t>
          </a:r>
        </a:p>
      </cdr:txBody>
    </cdr:sp>
  </cdr:relSizeAnchor>
  <cdr:relSizeAnchor xmlns:cdr="http://schemas.openxmlformats.org/drawingml/2006/chartDrawing">
    <cdr:from>
      <cdr:x>0.71128</cdr:x>
      <cdr:y>0.26401</cdr:y>
    </cdr:from>
    <cdr:to>
      <cdr:x>0.7686</cdr:x>
      <cdr:y>0.35956</cdr:y>
    </cdr:to>
    <cdr:pic>
      <cdr:nvPicPr>
        <cdr:cNvPr id="4" name="Graphic 3" descr="Water with solid fill">
          <a:extLst xmlns:a="http://schemas.openxmlformats.org/drawingml/2006/main">
            <a:ext uri="{FF2B5EF4-FFF2-40B4-BE49-F238E27FC236}">
              <a16:creationId xmlns:a16="http://schemas.microsoft.com/office/drawing/2014/main" id="{EBF97AA7-5D3B-7F6F-00FF-BBA80391220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505618" y="661244"/>
          <a:ext cx="201920" cy="239315"/>
        </a:xfrm>
        <a:prstGeom xmlns:a="http://schemas.openxmlformats.org/drawingml/2006/main" prst="rect">
          <a:avLst/>
        </a:prstGeom>
      </cdr:spPr>
    </cdr:pic>
  </cdr:relSizeAnchor>
  <cdr:relSizeAnchor xmlns:cdr="http://schemas.openxmlformats.org/drawingml/2006/chartDrawing">
    <cdr:from>
      <cdr:x>0.75475</cdr:x>
      <cdr:y>0.47501</cdr:y>
    </cdr:from>
    <cdr:to>
      <cdr:x>0.95745</cdr:x>
      <cdr:y>0.59696</cdr:y>
    </cdr:to>
    <cdr:sp macro="" textlink="">
      <cdr:nvSpPr>
        <cdr:cNvPr id="3" name="TextBox 2">
          <a:extLst xmlns:a="http://schemas.openxmlformats.org/drawingml/2006/main">
            <a:ext uri="{FF2B5EF4-FFF2-40B4-BE49-F238E27FC236}">
              <a16:creationId xmlns:a16="http://schemas.microsoft.com/office/drawing/2014/main" id="{1D8709AF-A5CD-DCAE-2740-876041EE01B8}"/>
            </a:ext>
          </a:extLst>
        </cdr:cNvPr>
        <cdr:cNvSpPr txBox="1"/>
      </cdr:nvSpPr>
      <cdr:spPr>
        <a:xfrm xmlns:a="http://schemas.openxmlformats.org/drawingml/2006/main">
          <a:off x="2658737" y="1189725"/>
          <a:ext cx="714049" cy="30543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IN" sz="1400" b="1" kern="1200">
              <a:latin typeface="Segoe UI Semibold" panose="020B0702040204020203" pitchFamily="34" charset="0"/>
              <a:cs typeface="Segoe UI Semibold" panose="020B0702040204020203" pitchFamily="34" charset="0"/>
            </a:rPr>
            <a:t>Male</a:t>
          </a:r>
        </a:p>
      </cdr:txBody>
    </cdr:sp>
  </cdr:relSizeAnchor>
  <cdr:relSizeAnchor xmlns:cdr="http://schemas.openxmlformats.org/drawingml/2006/chartDrawing">
    <cdr:from>
      <cdr:x>0.71628</cdr:x>
      <cdr:y>0.33909</cdr:y>
    </cdr:from>
    <cdr:to>
      <cdr:x>1</cdr:x>
      <cdr:y>0.44745</cdr:y>
    </cdr:to>
    <cdr:sp macro="" textlink="'Pivot Report'!$O$30">
      <cdr:nvSpPr>
        <cdr:cNvPr id="6" name="TextBox 5">
          <a:extLst xmlns:a="http://schemas.openxmlformats.org/drawingml/2006/main">
            <a:ext uri="{FF2B5EF4-FFF2-40B4-BE49-F238E27FC236}">
              <a16:creationId xmlns:a16="http://schemas.microsoft.com/office/drawing/2014/main" id="{E0DDE733-3036-590E-890E-1743847BD65E}"/>
            </a:ext>
          </a:extLst>
        </cdr:cNvPr>
        <cdr:cNvSpPr txBox="1"/>
      </cdr:nvSpPr>
      <cdr:spPr>
        <a:xfrm xmlns:a="http://schemas.openxmlformats.org/drawingml/2006/main">
          <a:off x="2502264" y="864344"/>
          <a:ext cx="991147" cy="27621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ED80132C-FC49-48D9-840F-7B0A1D9919BE}" type="TxLink">
            <a:rPr lang="en-US" sz="1170" b="0" i="0" u="none" strike="noStrike" kern="1200">
              <a:solidFill>
                <a:srgbClr val="000000"/>
              </a:solidFill>
              <a:latin typeface="Segoe UI Semibold" panose="020B0702040204020203" pitchFamily="34" charset="0"/>
              <a:ea typeface="Calibri"/>
              <a:cs typeface="Segoe UI Semibold" panose="020B0702040204020203" pitchFamily="34" charset="0"/>
            </a:rPr>
            <a:pPr algn="ctr"/>
            <a:t>47% (241)</a:t>
          </a:fld>
          <a:endParaRPr lang="en-IN" sz="1170" b="1" kern="1200">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0.71447</cdr:x>
      <cdr:y>0.49861</cdr:y>
    </cdr:from>
    <cdr:to>
      <cdr:x>0.77179</cdr:x>
      <cdr:y>0.59415</cdr:y>
    </cdr:to>
    <cdr:pic>
      <cdr:nvPicPr>
        <cdr:cNvPr id="7" name="Graphic 6" descr="Water with solid fill">
          <a:extLst xmlns:a="http://schemas.openxmlformats.org/drawingml/2006/main">
            <a:ext uri="{FF2B5EF4-FFF2-40B4-BE49-F238E27FC236}">
              <a16:creationId xmlns:a16="http://schemas.microsoft.com/office/drawing/2014/main" id="{D2FD7D6A-55D2-9409-4E2D-8CFC17130EA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2516865" y="1248831"/>
          <a:ext cx="201920" cy="239290"/>
        </a:xfrm>
        <a:prstGeom xmlns:a="http://schemas.openxmlformats.org/drawingml/2006/main" prst="rect">
          <a:avLst/>
        </a:prstGeom>
      </cdr:spPr>
    </cdr:pic>
  </cdr:relSizeAnchor>
  <cdr:relSizeAnchor xmlns:cdr="http://schemas.openxmlformats.org/drawingml/2006/chartDrawing">
    <cdr:from>
      <cdr:x>0.31155</cdr:x>
      <cdr:y>0.43405</cdr:y>
    </cdr:from>
    <cdr:to>
      <cdr:x>0.41817</cdr:x>
      <cdr:y>0.61805</cdr:y>
    </cdr:to>
    <cdr:pic>
      <cdr:nvPicPr>
        <cdr:cNvPr id="9" name="Graphic 8" descr="Woman with solid fill">
          <a:extLst xmlns:a="http://schemas.openxmlformats.org/drawingml/2006/main">
            <a:ext uri="{FF2B5EF4-FFF2-40B4-BE49-F238E27FC236}">
              <a16:creationId xmlns:a16="http://schemas.microsoft.com/office/drawing/2014/main" id="{B8ED8E62-0932-4A4B-B9B3-F8961CC3F5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5">
          <a:extLst>
            <a:ext uri="{96DAC541-7B7A-43D3-8B79-37D633B846F1}">
              <asvg:svgBlip xmlns:asvg="http://schemas.microsoft.com/office/drawing/2016/SVG/main" r:embed="rId6"/>
            </a:ext>
          </a:extLst>
        </a:blip>
        <a:stretch xmlns:a="http://schemas.openxmlformats.org/drawingml/2006/main">
          <a:fillRect/>
        </a:stretch>
      </cdr:blipFill>
      <cdr:spPr>
        <a:xfrm xmlns:a="http://schemas.openxmlformats.org/drawingml/2006/main">
          <a:off x="1088372" y="1106402"/>
          <a:ext cx="372467" cy="469007"/>
        </a:xfrm>
        <a:prstGeom xmlns:a="http://schemas.openxmlformats.org/drawingml/2006/main" prst="rect">
          <a:avLst/>
        </a:prstGeom>
      </cdr:spPr>
    </cdr:pic>
  </cdr:relSizeAnchor>
  <cdr:relSizeAnchor xmlns:cdr="http://schemas.openxmlformats.org/drawingml/2006/chartDrawing">
    <cdr:from>
      <cdr:x>0.24954</cdr:x>
      <cdr:y>0.42938</cdr:y>
    </cdr:from>
    <cdr:to>
      <cdr:x>0.35922</cdr:x>
      <cdr:y>0.61864</cdr:y>
    </cdr:to>
    <cdr:pic>
      <cdr:nvPicPr>
        <cdr:cNvPr id="11" name="Graphic 10" descr="Man with solid fill">
          <a:extLst xmlns:a="http://schemas.openxmlformats.org/drawingml/2006/main">
            <a:ext uri="{FF2B5EF4-FFF2-40B4-BE49-F238E27FC236}">
              <a16:creationId xmlns:a16="http://schemas.microsoft.com/office/drawing/2014/main" id="{3EA81893-3B5E-FCBF-DF63-5975DA45CC3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7">
          <a:extLst>
            <a:ext uri="{96DAC541-7B7A-43D3-8B79-37D633B846F1}">
              <asvg:svgBlip xmlns:asvg="http://schemas.microsoft.com/office/drawing/2016/SVG/main" r:embed="rId8"/>
            </a:ext>
          </a:extLst>
        </a:blip>
        <a:stretch xmlns:a="http://schemas.openxmlformats.org/drawingml/2006/main">
          <a:fillRect/>
        </a:stretch>
      </cdr:blipFill>
      <cdr:spPr>
        <a:xfrm xmlns:a="http://schemas.openxmlformats.org/drawingml/2006/main">
          <a:off x="871743" y="1094496"/>
          <a:ext cx="383154" cy="482418"/>
        </a:xfrm>
        <a:prstGeom xmlns:a="http://schemas.openxmlformats.org/drawingml/2006/main" prst="rect">
          <a:avLst/>
        </a:prstGeom>
      </cdr:spPr>
    </cdr:pic>
  </cdr:relSizeAnchor>
  <cdr:relSizeAnchor xmlns:cdr="http://schemas.openxmlformats.org/drawingml/2006/chartDrawing">
    <cdr:from>
      <cdr:x>0.73162</cdr:x>
      <cdr:y>0.57949</cdr:y>
    </cdr:from>
    <cdr:to>
      <cdr:x>1</cdr:x>
      <cdr:y>0.68785</cdr:y>
    </cdr:to>
    <cdr:sp macro="" textlink="'Pivot Report'!$O$31">
      <cdr:nvSpPr>
        <cdr:cNvPr id="8" name="TextBox 7">
          <a:extLst xmlns:a="http://schemas.openxmlformats.org/drawingml/2006/main">
            <a:ext uri="{FF2B5EF4-FFF2-40B4-BE49-F238E27FC236}">
              <a16:creationId xmlns:a16="http://schemas.microsoft.com/office/drawing/2014/main" id="{4F625EC8-C8A4-0696-5C8D-02429BBD6599}"/>
            </a:ext>
          </a:extLst>
        </cdr:cNvPr>
        <cdr:cNvSpPr txBox="1"/>
      </cdr:nvSpPr>
      <cdr:spPr>
        <a:xfrm xmlns:a="http://schemas.openxmlformats.org/drawingml/2006/main">
          <a:off x="2555842" y="1477129"/>
          <a:ext cx="937569" cy="27621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60BFF285-04C7-4A54-ABFE-C9BA62DA1539}" type="TxLink">
            <a:rPr lang="en-US" sz="1170" b="0" i="0" u="none" strike="noStrike" kern="1200">
              <a:solidFill>
                <a:srgbClr val="000000"/>
              </a:solidFill>
              <a:latin typeface="Segoe UI Semibold" panose="020B0702040204020203" pitchFamily="34" charset="0"/>
              <a:ea typeface="Calibri"/>
              <a:cs typeface="Segoe UI Semibold" panose="020B0702040204020203" pitchFamily="34" charset="0"/>
            </a:rPr>
            <a:pPr algn="ctr"/>
            <a:t>53% (272)</a:t>
          </a:fld>
          <a:endParaRPr lang="en-IN" sz="1170" b="1" kern="1200">
            <a:latin typeface="Segoe UI Semibold" panose="020B0702040204020203" pitchFamily="34" charset="0"/>
            <a:cs typeface="Segoe UI Semibold" panose="020B0702040204020203"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0.02455</cdr:x>
      <cdr:y>0.27202</cdr:y>
    </cdr:from>
    <cdr:to>
      <cdr:x>0.11575</cdr:x>
      <cdr:y>0.49801</cdr:y>
    </cdr:to>
    <cdr:pic>
      <cdr:nvPicPr>
        <cdr:cNvPr id="5" name="Graphic 4" descr="Male profile with solid fill">
          <a:extLst xmlns:a="http://schemas.openxmlformats.org/drawingml/2006/main">
            <a:ext uri="{FF2B5EF4-FFF2-40B4-BE49-F238E27FC236}">
              <a16:creationId xmlns:a16="http://schemas.microsoft.com/office/drawing/2014/main" id="{CA784FA4-414B-1E2A-64AE-02855412E86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35636" y="522666"/>
          <a:ext cx="503861" cy="434235"/>
        </a:xfrm>
        <a:prstGeom xmlns:a="http://schemas.openxmlformats.org/drawingml/2006/main" prst="rect">
          <a:avLst/>
        </a:prstGeom>
      </cdr:spPr>
    </cdr:pic>
  </cdr:relSizeAnchor>
  <cdr:relSizeAnchor xmlns:cdr="http://schemas.openxmlformats.org/drawingml/2006/chartDrawing">
    <cdr:from>
      <cdr:x>0.02245</cdr:x>
      <cdr:y>0.49966</cdr:y>
    </cdr:from>
    <cdr:to>
      <cdr:x>0.10784</cdr:x>
      <cdr:y>0.81276</cdr:y>
    </cdr:to>
    <cdr:pic>
      <cdr:nvPicPr>
        <cdr:cNvPr id="3" name="Graphic 2" descr="Sleep with solid fill">
          <a:extLst xmlns:a="http://schemas.openxmlformats.org/drawingml/2006/main">
            <a:ext uri="{FF2B5EF4-FFF2-40B4-BE49-F238E27FC236}">
              <a16:creationId xmlns:a16="http://schemas.microsoft.com/office/drawing/2014/main" id="{D4D96D60-575F-1FBF-02A3-42F9CD17058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124022" y="960068"/>
          <a:ext cx="471766" cy="601621"/>
        </a:xfrm>
        <a:prstGeom xmlns:a="http://schemas.openxmlformats.org/drawingml/2006/main" prst="rect">
          <a:avLst/>
        </a:prstGeom>
      </cdr:spPr>
    </cdr:pic>
  </cdr:relSizeAnchor>
  <cdr:relSizeAnchor xmlns:cdr="http://schemas.openxmlformats.org/drawingml/2006/chartDrawing">
    <cdr:from>
      <cdr:x>0.75034</cdr:x>
      <cdr:y>0.12151</cdr:y>
    </cdr:from>
    <cdr:to>
      <cdr:x>0.97556</cdr:x>
      <cdr:y>0.28215</cdr:y>
    </cdr:to>
    <cdr:sp macro="" textlink="'Pivot Report'!$N$8">
      <cdr:nvSpPr>
        <cdr:cNvPr id="2" name="TextBox 1">
          <a:extLst xmlns:a="http://schemas.openxmlformats.org/drawingml/2006/main">
            <a:ext uri="{FF2B5EF4-FFF2-40B4-BE49-F238E27FC236}">
              <a16:creationId xmlns:a16="http://schemas.microsoft.com/office/drawing/2014/main" id="{1446E848-E514-F3E9-86C9-548F20E16D60}"/>
            </a:ext>
          </a:extLst>
        </cdr:cNvPr>
        <cdr:cNvSpPr txBox="1"/>
      </cdr:nvSpPr>
      <cdr:spPr>
        <a:xfrm xmlns:a="http://schemas.openxmlformats.org/drawingml/2006/main">
          <a:off x="4145357" y="233482"/>
          <a:ext cx="1244278" cy="308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r"/>
          <a:fld id="{8AF3392A-B154-464E-8479-C37C2D2348AB}" type="TxLink">
            <a:rPr lang="en-US" sz="1200" b="0" i="0" u="none" strike="noStrike" kern="1200">
              <a:solidFill>
                <a:srgbClr val="000000"/>
              </a:solidFill>
              <a:latin typeface="Segoe UI Semibold" panose="020B0702040204020203" pitchFamily="34" charset="0"/>
              <a:ea typeface="Calibri"/>
              <a:cs typeface="Segoe UI Semibold" panose="020B0702040204020203" pitchFamily="34" charset="0"/>
            </a:rPr>
            <a:pPr algn="r"/>
            <a:t>Not Admitted</a:t>
          </a:fld>
          <a:endParaRPr lang="en-IN" sz="1200" kern="1200">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0.73288</cdr:x>
      <cdr:y>0.46287</cdr:y>
    </cdr:from>
    <cdr:to>
      <cdr:x>0.92283</cdr:x>
      <cdr:y>0.60744</cdr:y>
    </cdr:to>
    <cdr:sp macro="" textlink="'Pivot Report'!$N$7">
      <cdr:nvSpPr>
        <cdr:cNvPr id="4" name="TextBox 3">
          <a:extLst xmlns:a="http://schemas.openxmlformats.org/drawingml/2006/main">
            <a:ext uri="{FF2B5EF4-FFF2-40B4-BE49-F238E27FC236}">
              <a16:creationId xmlns:a16="http://schemas.microsoft.com/office/drawing/2014/main" id="{8C87B2B1-5A96-55CB-F62C-28FAACCA477D}"/>
            </a:ext>
          </a:extLst>
        </cdr:cNvPr>
        <cdr:cNvSpPr txBox="1"/>
      </cdr:nvSpPr>
      <cdr:spPr>
        <a:xfrm xmlns:a="http://schemas.openxmlformats.org/drawingml/2006/main">
          <a:off x="4048901" y="889382"/>
          <a:ext cx="1049437" cy="27779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r"/>
          <a:fld id="{2BE76669-6A5C-4228-955F-7333F0013E33}" type="TxLink">
            <a:rPr lang="en-US" sz="1200" b="0" i="0" u="none" strike="noStrike" kern="1200">
              <a:solidFill>
                <a:srgbClr val="000000"/>
              </a:solidFill>
              <a:latin typeface="Segoe UI Semibold" panose="020B0702040204020203" pitchFamily="34" charset="0"/>
              <a:ea typeface="Calibri"/>
              <a:cs typeface="Segoe UI Semibold" panose="020B0702040204020203" pitchFamily="34" charset="0"/>
            </a:rPr>
            <a:pPr algn="r"/>
            <a:t>Admitted</a:t>
          </a:fld>
          <a:endParaRPr lang="en-IN" sz="1400" kern="1200">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0.77478</cdr:x>
      <cdr:y>0.23095</cdr:y>
    </cdr:from>
    <cdr:to>
      <cdr:x>1</cdr:x>
      <cdr:y>0.39159</cdr:y>
    </cdr:to>
    <cdr:sp macro="" textlink="'Pivot Report'!$O$8">
      <cdr:nvSpPr>
        <cdr:cNvPr id="6" name="TextBox 5">
          <a:extLst xmlns:a="http://schemas.openxmlformats.org/drawingml/2006/main">
            <a:ext uri="{FF2B5EF4-FFF2-40B4-BE49-F238E27FC236}">
              <a16:creationId xmlns:a16="http://schemas.microsoft.com/office/drawing/2014/main" id="{AB813AE9-226F-E90E-C78A-036524B13814}"/>
            </a:ext>
          </a:extLst>
        </cdr:cNvPr>
        <cdr:cNvSpPr txBox="1"/>
      </cdr:nvSpPr>
      <cdr:spPr>
        <a:xfrm xmlns:a="http://schemas.openxmlformats.org/drawingml/2006/main">
          <a:off x="4280396" y="443756"/>
          <a:ext cx="1244278" cy="308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r"/>
          <a:fld id="{B27D1905-6D6D-49F5-BD04-1D0172C57A7B}" type="TxLink">
            <a:rPr lang="en-US" sz="1400" b="0" i="0" u="none" strike="noStrike" kern="1200">
              <a:solidFill>
                <a:srgbClr val="000000"/>
              </a:solidFill>
              <a:latin typeface="Segoe UI Semibold" panose="020B0702040204020203" pitchFamily="34" charset="0"/>
              <a:ea typeface="Calibri"/>
              <a:cs typeface="Segoe UI Semibold" panose="020B0702040204020203" pitchFamily="34" charset="0"/>
            </a:rPr>
            <a:pPr algn="r"/>
            <a:t>48% (244)</a:t>
          </a:fld>
          <a:endParaRPr lang="en-IN" sz="1600" kern="1200">
            <a:latin typeface="Segoe UI Semibold" panose="020B0702040204020203" pitchFamily="34" charset="0"/>
            <a:cs typeface="Segoe UI Semibold" panose="020B0702040204020203" pitchFamily="34" charset="0"/>
          </a:endParaRPr>
        </a:p>
      </cdr:txBody>
    </cdr:sp>
  </cdr:relSizeAnchor>
  <cdr:relSizeAnchor xmlns:cdr="http://schemas.openxmlformats.org/drawingml/2006/chartDrawing">
    <cdr:from>
      <cdr:x>0.77478</cdr:x>
      <cdr:y>0.55624</cdr:y>
    </cdr:from>
    <cdr:to>
      <cdr:x>1</cdr:x>
      <cdr:y>0.71688</cdr:y>
    </cdr:to>
    <cdr:sp macro="" textlink="'Pivot Report'!$O$7">
      <cdr:nvSpPr>
        <cdr:cNvPr id="7" name="TextBox 6">
          <a:extLst xmlns:a="http://schemas.openxmlformats.org/drawingml/2006/main">
            <a:ext uri="{FF2B5EF4-FFF2-40B4-BE49-F238E27FC236}">
              <a16:creationId xmlns:a16="http://schemas.microsoft.com/office/drawing/2014/main" id="{ED32EB43-E434-FD53-6C22-22200BF17DCD}"/>
            </a:ext>
          </a:extLst>
        </cdr:cNvPr>
        <cdr:cNvSpPr txBox="1"/>
      </cdr:nvSpPr>
      <cdr:spPr>
        <a:xfrm xmlns:a="http://schemas.openxmlformats.org/drawingml/2006/main">
          <a:off x="4280396" y="1068789"/>
          <a:ext cx="1244278" cy="30865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r"/>
          <a:fld id="{F27DC6E4-0467-4641-A795-9F0E320F895C}" type="TxLink">
            <a:rPr lang="en-US" sz="1400" b="0" i="0" u="none" strike="noStrike" kern="1200">
              <a:solidFill>
                <a:srgbClr val="1B2B48"/>
              </a:solidFill>
              <a:latin typeface="Segoe UI Semibold" panose="020B0702040204020203" pitchFamily="34" charset="0"/>
              <a:ea typeface="Calibri"/>
              <a:cs typeface="Segoe UI Semibold" panose="020B0702040204020203" pitchFamily="34" charset="0"/>
            </a:rPr>
            <a:pPr algn="r"/>
            <a:t>52% (269)</a:t>
          </a:fld>
          <a:endParaRPr lang="en-IN" sz="1600" kern="1200">
            <a:solidFill>
              <a:srgbClr val="1B2B48"/>
            </a:solidFill>
            <a:latin typeface="Segoe UI Semibold" panose="020B0702040204020203" pitchFamily="34" charset="0"/>
            <a:cs typeface="Segoe UI Semibold" panose="020B0702040204020203" pitchFamily="34"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127000</xdr:colOff>
      <xdr:row>0</xdr:row>
      <xdr:rowOff>81437</xdr:rowOff>
    </xdr:from>
    <xdr:to>
      <xdr:col>19</xdr:col>
      <xdr:colOff>287867</xdr:colOff>
      <xdr:row>28</xdr:row>
      <xdr:rowOff>101600</xdr:rowOff>
    </xdr:to>
    <xdr:graphicFrame macro="">
      <xdr:nvGraphicFramePr>
        <xdr:cNvPr id="2" name="Every Day Patient Count 2">
          <a:extLst>
            <a:ext uri="{FF2B5EF4-FFF2-40B4-BE49-F238E27FC236}">
              <a16:creationId xmlns:a16="http://schemas.microsoft.com/office/drawing/2014/main" id="{EACA36E5-195C-40B5-91D4-FCB81C8B8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99458</xdr:colOff>
      <xdr:row>0</xdr:row>
      <xdr:rowOff>59600</xdr:rowOff>
    </xdr:from>
    <xdr:to>
      <xdr:col>0</xdr:col>
      <xdr:colOff>482597</xdr:colOff>
      <xdr:row>2</xdr:row>
      <xdr:rowOff>85496</xdr:rowOff>
    </xdr:to>
    <xdr:pic>
      <xdr:nvPicPr>
        <xdr:cNvPr id="8" name="Graphic 7" descr="Home with solid fill">
          <a:hlinkClick xmlns:r="http://schemas.openxmlformats.org/officeDocument/2006/relationships" r:id="rId2"/>
          <a:extLst>
            <a:ext uri="{FF2B5EF4-FFF2-40B4-BE49-F238E27FC236}">
              <a16:creationId xmlns:a16="http://schemas.microsoft.com/office/drawing/2014/main" id="{9FBAFFC8-7BEE-BDA8-79C7-F5F492ED3C7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9458" y="59600"/>
          <a:ext cx="383139" cy="398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347132</xdr:colOff>
      <xdr:row>28</xdr:row>
      <xdr:rowOff>127000</xdr:rowOff>
    </xdr:to>
    <xdr:graphicFrame macro="">
      <xdr:nvGraphicFramePr>
        <xdr:cNvPr id="2" name="avg waittime chart">
          <a:extLst>
            <a:ext uri="{FF2B5EF4-FFF2-40B4-BE49-F238E27FC236}">
              <a16:creationId xmlns:a16="http://schemas.microsoft.com/office/drawing/2014/main" id="{24DBBC9F-4A1D-4448-9421-F9EBB6AD6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0.00364</cdr:x>
      <cdr:y>0.00977</cdr:y>
    </cdr:from>
    <cdr:to>
      <cdr:x>0.03717</cdr:x>
      <cdr:y>0.08768</cdr:y>
    </cdr:to>
    <cdr:pic>
      <cdr:nvPicPr>
        <cdr:cNvPr id="3" name="Graphic 7"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FBAFFC8-7BEE-BDA8-79C7-F5F492ED3C7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2296" y="50790"/>
          <a:ext cx="389504" cy="405041"/>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76200</xdr:colOff>
      <xdr:row>0</xdr:row>
      <xdr:rowOff>93133</xdr:rowOff>
    </xdr:from>
    <xdr:to>
      <xdr:col>19</xdr:col>
      <xdr:colOff>381000</xdr:colOff>
      <xdr:row>28</xdr:row>
      <xdr:rowOff>84665</xdr:rowOff>
    </xdr:to>
    <xdr:graphicFrame macro="">
      <xdr:nvGraphicFramePr>
        <xdr:cNvPr id="4" name="Chart 3">
          <a:extLst>
            <a:ext uri="{FF2B5EF4-FFF2-40B4-BE49-F238E27FC236}">
              <a16:creationId xmlns:a16="http://schemas.microsoft.com/office/drawing/2014/main" id="{C52FFCA3-22FD-4E95-ABC3-3E31A400A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cdr:y>
    </cdr:from>
    <cdr:to>
      <cdr:x>0.03365</cdr:x>
      <cdr:y>0.07994</cdr:y>
    </cdr:to>
    <cdr:pic>
      <cdr:nvPicPr>
        <cdr:cNvPr id="2" name="Graphic 7"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1B9E062-64F4-464D-16F2-B1E480AE133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00008" cy="41625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5046298" createdVersion="5" refreshedVersion="8" minRefreshableVersion="3" recordCount="0" supportSubquery="1" supportAdvancedDrill="1" xr:uid="{42357068-8B12-44BF-A81F-63CEAB7E048D}">
  <cacheSource type="external" connectionId="3"/>
  <cacheFields count="3">
    <cacheField name="[Calander Table].[Date (Month)].[Date (Month)]" caption="Date (Month)" numFmtId="0" hierarchy="1" level="1">
      <sharedItems count="1">
        <s v="Jan"/>
      </sharedItems>
    </cacheField>
    <cacheField name="[Measures].[Count of Patient Attend Status]" caption="Count of Patient Attend Status" numFmtId="0" hierarchy="29"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0"/>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2"/>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5277775" createdVersion="5" refreshedVersion="8" minRefreshableVersion="3" recordCount="0" supportSubquery="1" supportAdvancedDrill="1" xr:uid="{29123434-A1FD-433F-890A-FCDC558DCF47}">
  <cacheSource type="external" connectionId="3"/>
  <cacheFields count="3">
    <cacheField name="[Calander Table].[Date (Month)].[Date (Month)]" caption="Date (Month)" numFmtId="0" hierarchy="1" level="1">
      <sharedItems containsSemiMixedTypes="0" containsNonDate="0" containsString="0"/>
    </cacheField>
    <cacheField name="[Measures].[Count of Patient Id]" caption="Count of Patient Id" numFmtId="0" hierarchy="23"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0"/>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2"/>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5393521" createdVersion="5" refreshedVersion="8" minRefreshableVersion="3" recordCount="0" supportSubquery="1" supportAdvancedDrill="1" xr:uid="{EF324D90-E11C-42C2-A49E-E8205C329D9D}">
  <cacheSource type="external" connectionId="3"/>
  <cacheFields count="3">
    <cacheField name="[Measures].[Average of Patient Waittime]" caption="Average of Patient Waittime" numFmtId="0" hierarchy="26" level="32767"/>
    <cacheField name="[Calander Table].[Date (Month)].[Date (Month)]" caption="Date (Month)" numFmtId="0" hierarchy="1" level="1">
      <sharedItems containsSemiMixedTypes="0" containsNonDate="0" containsString="0"/>
    </cacheField>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1"/>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2"/>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5624998" createdVersion="5" refreshedVersion="8" minRefreshableVersion="3" recordCount="0" supportSubquery="1" supportAdvancedDrill="1" xr:uid="{0FC5A009-0E32-463B-BD3C-ACCCEF758203}">
  <cacheSource type="external" connectionId="3"/>
  <cacheFields count="3">
    <cacheField name="[Measures].[Average of Patient Satisfaction Score]" caption="Average of Patient Satisfaction Score" numFmtId="0" hierarchy="28" level="32767"/>
    <cacheField name="[Calander Table].[Date (Month)].[Date (Month)]" caption="Date (Month)" numFmtId="0" hierarchy="1" level="1">
      <sharedItems containsSemiMixedTypes="0" containsNonDate="0" containsString="0"/>
    </cacheField>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1"/>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2"/>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6319445" createdVersion="5" refreshedVersion="8" minRefreshableVersion="3" recordCount="0" supportSubquery="1" supportAdvancedDrill="1" xr:uid="{144E2121-9577-49DF-9C45-5BA746292A76}">
  <cacheSource type="external" connectionId="3"/>
  <cacheFields count="4">
    <cacheField name="[Measures].[Count of Patient Admission Time]" caption="Count of Patient Admission Time" numFmtId="0" hierarchy="32" level="32767"/>
    <cacheField name="[Calander Table].[Date (Month)].[Date (Month)]" caption="Date (Month)" numFmtId="0" hierarchy="1" level="1">
      <sharedItems containsSemiMixedTypes="0" containsNonDate="0" containsString="0"/>
    </cacheField>
    <cacheField name="[Calander 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30-Oct" u="1"/>
      </sharedItems>
    </cacheField>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1"/>
      </fieldsUsage>
    </cacheHierarchy>
    <cacheHierarchy uniqueName="[Calander Table].[Date (Day)]" caption="Date (Day)" attribute="1" defaultMemberUniqueName="[Calander Table].[Date (Day)].[All]" allUniqueName="[Calander Table].[Date (Day)].[All]" dimensionUniqueName="[Calander Table]" displayFolder="" count="2" memberValueDatatype="130" unbalanced="0">
      <fieldsUsage count="2">
        <fieldUsage x="-1"/>
        <fieldUsage x="2"/>
      </fieldsUsage>
    </cacheHierarchy>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6898145" createdVersion="5" refreshedVersion="8" minRefreshableVersion="3" recordCount="0" supportSubquery="1" supportAdvancedDrill="1" xr:uid="{1526C61F-8188-4C49-BDEB-CDF3106DD70D}">
  <cacheSource type="external" connectionId="3"/>
  <cacheFields count="3">
    <cacheField name="[Measures].[Count of Patient Attend Status]" caption="Count of Patient Attend Status" numFmtId="0" hierarchy="29" level="32767"/>
    <cacheField name="[Calander Table].[Date (Year)].[Date (Year)]" caption="Date (Year)" numFmtId="0" hierarchy="3" level="1">
      <sharedItems count="1">
        <s v="2024"/>
      </sharedItems>
    </cacheField>
    <cacheField name="[Calander Table].[Date (Month)].[Date (Month)]" caption="Date (Month)" numFmtId="0" hierarchy="1"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2"/>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1"/>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7592592" createdVersion="5" refreshedVersion="8" minRefreshableVersion="3" recordCount="0" supportSubquery="1" supportAdvancedDrill="1" xr:uid="{1C408854-AF32-4B5F-ADA7-29A5A087E07E}">
  <cacheSource type="external" connectionId="3"/>
  <cacheFields count="4">
    <cacheField name="[Measures].[Distinct Count of Patient Id]" caption="Distinct Count of Patient Id" numFmtId="0" hierarchy="24" level="32767"/>
    <cacheField name="[Cala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 Table].[Date (Month)].[Date (Month)]" caption="Date (Month)" numFmtId="0" hierarchy="1" level="1">
      <sharedItems containsSemiMixedTypes="0" containsNonDate="0" containsString="0"/>
    </cacheField>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2"/>
      </fieldsUsage>
    </cacheHierarchy>
    <cacheHierarchy uniqueName="[Calander Table].[Date (Day)]" caption="Date (Day)" attribute="1" defaultMemberUniqueName="[Calander Table].[Date (Day)].[All]" allUniqueName="[Calander Table].[Date (Day)].[All]" dimensionUniqueName="[Calander Table]" displayFolder="" count="2" memberValueDatatype="130" unbalanced="0">
      <fieldsUsage count="2">
        <fieldUsage x="-1"/>
        <fieldUsage x="1"/>
      </fieldsUsage>
    </cacheHierarchy>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8402777" createdVersion="5" refreshedVersion="8" minRefreshableVersion="3" recordCount="0" supportSubquery="1" supportAdvancedDrill="1" xr:uid="{AA7E8E97-065F-44DE-B06D-9B2E95C1917F}">
  <cacheSource type="external" connectionId="3"/>
  <cacheFields count="4">
    <cacheField name="[Calander 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Apr" u="1"/>
      </sharedItems>
    </cacheField>
    <cacheField name="[Cala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1"/>
      </fieldsUsage>
    </cacheHierarchy>
    <cacheHierarchy uniqueName="[Calander Table].[Date (Day)]" caption="Date (Day)" attribute="1" defaultMemberUniqueName="[Calander Table].[Date (Day)].[All]" allUniqueName="[Calander Table].[Date (Day)].[All]" dimensionUniqueName="[Calander Table]" displayFolder="" count="2" memberValueDatatype="130" unbalanced="0">
      <fieldsUsage count="2">
        <fieldUsage x="-1"/>
        <fieldUsage x="0"/>
      </fieldsUsage>
    </cacheHierarchy>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19097224" createdVersion="5" refreshedVersion="8" minRefreshableVersion="3" recordCount="0" supportSubquery="1" supportAdvancedDrill="1" xr:uid="{2E64E288-312F-445C-97C6-E1FE26F762A7}">
  <cacheSource type="external" connectionId="3"/>
  <cacheFields count="4">
    <cacheField name="[Cala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a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1"/>
      </fieldsUsage>
    </cacheHierarchy>
    <cacheHierarchy uniqueName="[Calander Table].[Date (Day)]" caption="Date (Day)" attribute="1" defaultMemberUniqueName="[Calander Table].[Date (Day)].[All]" allUniqueName="[Calander Table].[Date (Day)].[All]" dimensionUniqueName="[Calander Table]" displayFolder="" count="2" memberValueDatatype="130" unbalanced="0">
      <fieldsUsage count="2">
        <fieldUsage x="-1"/>
        <fieldUsage x="0"/>
      </fieldsUsage>
    </cacheHierarchy>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20023147" createdVersion="5" refreshedVersion="8" minRefreshableVersion="3" recordCount="0" supportSubquery="1" supportAdvancedDrill="1" xr:uid="{2A5155B5-9543-4A3F-ACED-0AD3D50FDDAE}">
  <cacheSource type="external" connectionId="3"/>
  <cacheFields count="4">
    <cacheField name="[Calander Table].[Date (Month)].[Date (Month)]" caption="Date (Month)" numFmtId="0" hierarchy="1" level="1">
      <sharedItems containsSemiMixedTypes="0" containsNonDate="0" containsString="0"/>
    </cacheField>
    <cacheField name="[Hospital_Emergency_Room_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4"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0"/>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1"/>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20717594" createdVersion="5" refreshedVersion="8" minRefreshableVersion="3" recordCount="0" supportSubquery="1" supportAdvancedDrill="1" xr:uid="{EA2D731B-1EFC-4735-9ECA-756C6AE5AA04}">
  <cacheSource type="external" connectionId="3"/>
  <cacheFields count="4">
    <cacheField name="[Calander Table].[Date (Month)].[Date (Month)]" caption="Date (Month)" numFmtId="0" hierarchy="1" level="1">
      <sharedItems containsSemiMixedTypes="0" containsNonDate="0" containsString="0"/>
    </cacheField>
    <cacheField name="[Hospital_Emergency_Room_Data].[Age Group].[Age Group]" caption="Age Group" numFmtId="0" hierarchy="16" level="1">
      <sharedItems count="8">
        <s v="0 - 09"/>
        <s v="10-19"/>
        <s v="20-29"/>
        <s v="30-39"/>
        <s v="40-49"/>
        <s v="50-59"/>
        <s v="60-69"/>
        <s v="70-79"/>
      </sharedItems>
    </cacheField>
    <cacheField name="[Measures].[Count of Age Group]" caption="Count of Age Group" numFmtId="0" hierarchy="37"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0"/>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1"/>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21296294" createdVersion="5" refreshedVersion="8" minRefreshableVersion="3" recordCount="0" supportSubquery="1" supportAdvancedDrill="1" xr:uid="{9C79BBAD-EE52-4BFA-937A-F9D19DFF7978}">
  <cacheSource type="external" connectionId="3"/>
  <cacheFields count="4">
    <cacheField name="[Calander Table].[Date (Month)].[Date (Month)]" caption="Date (Month)" numFmtId="0" hierarchy="1" level="1">
      <sharedItems containsSemiMixedTypes="0" containsNonDate="0" containsString="0"/>
    </cacheField>
    <cacheField name="[Hospital_Emergency_Room_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0"/>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1"/>
      </fieldsUsage>
    </cacheHierarchy>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21990741" createdVersion="5" refreshedVersion="8" minRefreshableVersion="3" recordCount="0" supportSubquery="1" supportAdvancedDrill="1" xr:uid="{01F897A2-BEA4-445D-8B0B-C1CEE0A2B9D8}">
  <cacheSource type="external" connectionId="3"/>
  <cacheFields count="4">
    <cacheField name="[Calander Table].[Date (Month)].[Date (Month)]" caption="Date (Month)" numFmtId="0" hierarchy="1" level="1">
      <sharedItems containsSemiMixedTypes="0" containsNonDate="0" containsString="0"/>
    </cacheField>
    <cacheField name="[Hospital_Emergency_Room_Data].[Patient Gender].[Patient Gender]" caption="Patient Gender" numFmtId="0" hierarchy="9" level="1">
      <sharedItems count="2">
        <s v="Female"/>
        <s v="Male"/>
      </sharedItems>
    </cacheField>
    <cacheField name="[Measures].[Count of Patient Gender]" caption="Count of Patient Gender" numFmtId="0" hierarchy="38"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0"/>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1"/>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45.677322569441" createdVersion="5" refreshedVersion="8" minRefreshableVersion="3" recordCount="0" supportSubquery="1" supportAdvancedDrill="1" xr:uid="{EFFE76E5-40A0-42BD-934B-0C0646CDA736}">
  <cacheSource type="external" connectionId="3"/>
  <cacheFields count="4">
    <cacheField name="[Calander Table].[Date (Month)].[Date (Month)]" caption="Date (Month)" numFmtId="0" hierarchy="1" level="1">
      <sharedItems containsSemiMixedTypes="0" containsNonDate="0" containsString="0"/>
    </cacheField>
    <cacheField name="[Hospital_Emergency_Room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9" level="32767"/>
    <cacheField name="[Calander Table].[Date (Year)].[Date (Year)]" caption="Date (Year)" numFmtId="0" hierarchy="3" level="1">
      <sharedItems containsSemiMixedTypes="0" containsNonDate="0" containsString="0"/>
    </cacheField>
  </cacheFields>
  <cacheHierarchies count="4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fieldsUsage count="2">
        <fieldUsage x="-1"/>
        <fieldUsage x="0"/>
      </fieldsUsage>
    </cacheHierarchy>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fieldsUsage count="2">
        <fieldUsage x="-1"/>
        <fieldUsage x="3"/>
      </fieldsUsage>
    </cacheHierarchy>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1"/>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hidden="1">
      <extLst>
        <ext xmlns:x15="http://schemas.microsoft.com/office/spreadsheetml/2010/11/main" uri="{B97F6D7D-B522-45F9-BDA1-12C45D357490}">
          <x15:cacheHierarchy aggregatedColumn="17"/>
        </ext>
      </extLst>
    </cacheHierarchy>
    <cacheHierarchy uniqueName="[Measures].[Sum of Patient Admission Time]" caption="Sum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Date]" caption="Count of Date" measure="1" displayFolder="" measureGroup="Calander Table" count="0" hidden="1">
      <extLst>
        <ext xmlns:x15="http://schemas.microsoft.com/office/spreadsheetml/2010/11/main" uri="{B97F6D7D-B522-45F9-BDA1-12C45D357490}">
          <x15:cacheHierarchy aggregatedColumn="0"/>
        </ext>
      </extLst>
    </cacheHierarchy>
    <cacheHierarchy uniqueName="[Measures].[Count of Patient Admission Time]" caption="Count of Patient Admission Time" measure="1" displayFolder="" measureGroup="Hospital_Emergency_Room_Data" count="0" hidden="1">
      <extLst>
        <ext xmlns:x15="http://schemas.microsoft.com/office/spreadsheetml/2010/11/main" uri="{B97F6D7D-B522-45F9-BDA1-12C45D357490}">
          <x15:cacheHierarchy aggregatedColumn="7"/>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_Emergency_Room_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_Emergency_Room_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Emergency_Room_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ander Table" uniqueName="[Calander Table]" caption="Calander Table"/>
    <dimension name="Hospital_Emergency_Room_Data" uniqueName="[Hospital_Emergency_Room_Data]" caption="Hospital_Emergency_Room_Data"/>
    <dimension measure="1" name="Measures" uniqueName="[Measures]" caption="Measures"/>
  </dimensions>
  <measureGroups count="2">
    <measureGroup name="Calander Table" caption="Calander 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OORI SHIVA PRASAD" refreshedDate="46239.007117013891" createdVersion="3" refreshedVersion="8" minRefreshableVersion="3" recordCount="0" supportSubquery="1" supportAdvancedDrill="1" xr:uid="{A17E5ACC-07C6-4F7D-B3B1-2888BF636C18}">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ander Table].[Date]" caption="Date" attribute="1" time="1" defaultMemberUniqueName="[Calander Table].[Date].[All]" allUniqueName="[Calander Table].[Date].[All]" dimensionUniqueName="[Calander Table]" displayFolder="" count="0" memberValueDatatype="7" unbalanced="0"/>
    <cacheHierarchy uniqueName="[Calander Table].[Date (Month)]" caption="Date (Month)" attribute="1" defaultMemberUniqueName="[Calander Table].[Date (Month)].[All]" allUniqueName="[Calander Table].[Date (Month)].[All]" dimensionUniqueName="[Calander Table]" displayFolder="" count="2" memberValueDatatype="130" unbalanced="0"/>
    <cacheHierarchy uniqueName="[Calander Table].[Date (Day)]" caption="Date (Day)" attribute="1" defaultMemberUniqueName="[Calander Table].[Date (Day)].[All]" allUniqueName="[Calander Table].[Date (Day)].[All]" dimensionUniqueName="[Calander Table]" displayFolder="" count="0" memberValueDatatype="130" unbalanced="0"/>
    <cacheHierarchy uniqueName="[Calander Table].[Date (Year)]" caption="Date (Year)" attribute="1" defaultMemberUniqueName="[Calander Table].[Date (Year)].[All]" allUniqueName="[Calander Table].[Date (Year)].[All]" dimensionUniqueName="[Calander Table]" displayFolder="" count="2" memberValueDatatype="130" unbalanced="0"/>
    <cacheHierarchy uniqueName="[Calander Table].[Date (Quarter)]" caption="Date (Quarter)" attribute="1" defaultMemberUniqueName="[Calander Table].[Date (Quarter)].[All]" allUniqueName="[Calander Table].[Date (Quarter)].[All]" dimensionUniqueName="[Calander 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5" unbalanced="0"/>
    <cacheHierarchy uniqueName="[Hospital_Emergency_Room_Data].[Patient Name]" caption="Patient Name" attribute="1" defaultMemberUniqueName="[Hospital_Emergency_Room_Data].[Patient Name].[All]" allUniqueName="[Hospital_Emergency_Room_Data].[Patient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Calander Table].[Date (Day Index)]" caption="Date (Day Index)" attribute="1" defaultMemberUniqueName="[Calander Table].[Date (Day Index)].[All]" allUniqueName="[Calander Table].[Date (Day Index)].[All]" dimensionUniqueName="[Calander Table]" displayFolder="" count="0" memberValueDatatype="5" unbalanced="0" hidden="1"/>
    <cacheHierarchy uniqueName="[Calander Table].[Date (Month Index)]" caption="Date (Month Index)" attribute="1" defaultMemberUniqueName="[Calander Table].[Date (Month Index)].[All]" allUniqueName="[Calander Table].[Date (Month Index)].[All]" dimensionUniqueName="[Calander Table]" displayFolder="" count="0" memberValueDatatype="20" unbalanced="0" hidden="1"/>
    <cacheHierarchy uniqueName="[Measures].[Count of Patient Id]" caption="Count of Patient Id" measure="1" displayFolder="" measureGroup="Hospital_Emergency_Room_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Emergency_Room_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Emergency_Room_Data" count="0">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Emergency_Room_Data" count="0">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Emergency_Room_Data" count="0">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Emergency_Room_Data" count="0">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_Emergency_Room_Data" count="0">
      <extLst>
        <ext xmlns:x15="http://schemas.microsoft.com/office/spreadsheetml/2010/11/main" uri="{B97F6D7D-B522-45F9-BDA1-12C45D357490}">
          <x15:cacheHierarchy aggregatedColumn="17"/>
        </ext>
      </extLst>
    </cacheHierarchy>
    <cacheHierarchy uniqueName="[Measures].[__XL_Count Hospital_Emergency_Room_Data]" caption="__XL_Count Hospital_Emergency_Room_Data" measure="1" displayFolder="" measureGroup="Hospital_Emergency_Room_Data" count="0" hidden="1"/>
    <cacheHierarchy uniqueName="[Measures].[__XL_Count Calander Table]" caption="__XL_Count Calander Table" measure="1" displayFolder="" measureGroup="Calander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39319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BA4977-A612-4FBF-BC35-ACFBD638AA66}" name="Department Referral" cacheId="182"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33">
  <location ref="N12:O2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32"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06032C-C28D-4CFF-ADCD-DE7D2053F388}" name="Patient By Gender " cacheId="179"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30">
  <location ref="N25:O2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1" count="1" selected="0">
            <x v="0"/>
          </reference>
        </references>
      </pivotArea>
    </chartFormat>
    <chartFormat chart="29" format="8">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B32F6E-14D8-4FA7-9645-6C6777F2BD27}" name="count of patients" cacheId="146"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13">
  <location ref="E2:E3"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1" subtotal="count" baseField="0" baseItem="0"/>
  </dataField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166880-56E7-4668-B974-A79F7ADAD962}" name="patient by Age Group" cacheId="173"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16">
  <location ref="Q3:R1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45CE6C-7910-4363-BFB2-2EAA400B23E7}" name="PivotTable1" cacheId="170" applyNumberFormats="0" applyBorderFormats="0" applyFontFormats="0" applyPatternFormats="0" applyAlignmentFormats="0" applyWidthHeightFormats="1" dataCaption="Values" tag="be7769f7-bcbe-4ca5-994e-1a0c3aa0c8d5" updatedVersion="8" minRefreshableVersion="3" subtotalHiddenItems="1" itemPrintTitles="1" createdVersion="5" indent="0" outline="1" outlineData="1" multipleFieldFilters="0" chartFormat="12">
  <location ref="N2:O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dmission Flag" fld="2" subtotal="count" baseField="0" baseItem="0"/>
  </dataFields>
  <formats count="2">
    <format dxfId="15">
      <pivotArea outline="0" collapsedLevelsAreSubtotals="1" fieldPosition="0"/>
    </format>
    <format dxfId="14">
      <pivotArea collapsedLevelsAreSubtotals="1" fieldPosition="0">
        <references count="1">
          <reference field="1" count="0"/>
        </references>
      </pivotArea>
    </format>
  </formats>
  <chartFormats count="14">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2B5317-41EA-48E3-9044-0205F6B0A269}" name="Patient Satisfaction score chart" cacheId="167"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15">
  <location ref="G5:H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164"/>
  </dataFields>
  <formats count="1">
    <format dxfId="16">
      <pivotArea outline="0" collapsedLevelsAreSubtotals="1" fieldPosition="0"/>
    </format>
  </format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C9B802-E489-4D69-B1F6-4D1301F4AA04}" name="month Slicer" cacheId="143"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3">
  <location ref="J6:K8"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Patient Attend Status" fld="1" subtotal="count" baseField="0" baseItem="0"/>
  </dataFields>
  <pivotHierarchies count="40">
    <pivotHierarchy dragToData="1"/>
    <pivotHierarchy multipleItemSelectionAllowed="1" dragToData="1"/>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872232-0E96-4B13-9059-F23EC4B56011}" name="AVG WaitTime Chat" cacheId="164"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22">
  <location ref="A5:B37"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8">
      <pivotArea collapsedLevelsAreSubtotals="1" fieldPosition="0">
        <references count="1">
          <reference field="0" count="1">
            <x v="31"/>
          </reference>
        </references>
      </pivotArea>
    </format>
    <format dxfId="17">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62C786-3753-4B74-98DE-2F38B5031B30}" name="Satisfaction score" cacheId="152" applyNumberFormats="0" applyBorderFormats="0" applyFontFormats="0" applyPatternFormats="0" applyAlignmentFormats="0" applyWidthHeightFormats="1" dataCaption="Values" tag="46a85311-bbc2-4a0e-b650-f2fc80e925fc" updatedVersion="8" minRefreshableVersion="3" subtotalHiddenItems="1" itemPrintTitles="1" createdVersion="5" indent="0" outline="1" outlineData="1" multipleFieldFilters="0" chartFormat="2">
  <location ref="H2:H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9">
      <pivotArea outline="0" collapsedLevelsAreSubtotals="1" fieldPosition="0"/>
    </format>
  </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4C04B7-EC41-4705-BA38-1870C23B9535}" name="Distinct Count of Patients chart" cacheId="161"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52">
  <location ref="D5:E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F949C6-2ABE-429C-AF93-F867A635B3CC}" name="avg waittime" cacheId="149" applyNumberFormats="0" applyBorderFormats="0" applyFontFormats="0" applyPatternFormats="0" applyAlignmentFormats="0" applyWidthHeightFormats="1" dataCaption="Values" tag="be7769f7-bcbe-4ca5-994e-1a0c3aa0c8d5" updatedVersion="8" minRefreshableVersion="3" subtotalHiddenItems="1" itemPrintTitles="1" createdVersion="5" indent="0" outline="1" outlineData="1" multipleFieldFilters="0">
  <location ref="B2:B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0">
      <pivotArea outline="0" collapsedLevelsAreSubtotals="1" fieldPosition="0"/>
    </format>
  </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0522B7-AE21-463F-9539-4E55C08E2DE7}" name="Year Slicer" cacheId="158"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3">
  <location ref="J1:K3"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Patient Attend Status" fld="0" subtotal="count" baseField="0" baseItem="0"/>
  </dataFields>
  <chartFormats count="1">
    <chartFormat chart="2" format="5"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D9F1A2-AA75-4633-9E81-0A0B0F210827}" name="every day count" cacheId="155"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37">
  <location ref="J10:K42"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Admission Time" fld="0" subtotal="count" baseField="0" baseItem="0"/>
  </dataFields>
  <chartFormats count="3">
    <chartFormat chart="9" format="4"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2" count="1" selected="0">
            <x v="31"/>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caption="Count of Patient Admission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181321-AACB-4775-8216-F64BC7A892CF}" name="PivotTable4" cacheId="176" applyNumberFormats="0" applyBorderFormats="0" applyFontFormats="0" applyPatternFormats="0" applyAlignmentFormats="0" applyWidthHeightFormats="1" dataCaption="Values" tag="ddf3317f-3c5f-422d-ba53-b5ec0981984d" updatedVersion="8" minRefreshableVersion="3" subtotalHiddenItems="1" itemPrintTitles="1" createdVersion="5" indent="0" outline="1" outlineData="1" multipleFieldFilters="0" chartFormat="28">
  <location ref="Q15:R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 count="1" selected="0">
            <x v="0"/>
          </reference>
        </references>
      </pivotArea>
    </chartFormat>
    <chartFormat chart="22" format="8">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members count="1" level="1">
        <member name="[Calander Table].[Date (Month)].&amp;[Jan]"/>
      </members>
    </pivotHierarchy>
    <pivotHierarchy dragToData="1"/>
    <pivotHierarchy multipleItemSelectionAllowed="1" dragToData="1">
      <members count="1" level="1">
        <member name="[Cala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a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0FC4B9C-E341-4618-A5A8-FCF2B46C4F07}" sourceName="[Calander Table].[Date (Year)]">
  <pivotTables>
    <pivotTable tabId="1" name="Year Slicer"/>
    <pivotTable tabId="1" name="month Slicer"/>
    <pivotTable tabId="1" name="avg waittime"/>
    <pivotTable tabId="1" name="AVG WaitTime Chat"/>
    <pivotTable tabId="1" name="count of patients"/>
    <pivotTable tabId="1" name="Department Referral"/>
    <pivotTable tabId="1" name="Distinct Count of Patients chart"/>
    <pivotTable tabId="1" name="every day count"/>
    <pivotTable tabId="1" name="patient by Age Group"/>
    <pivotTable tabId="1" name="Patient By Gender "/>
    <pivotTable tabId="1" name="Patient Satisfaction score chart"/>
    <pivotTable tabId="1" name="PivotTable1"/>
    <pivotTable tabId="1" name="PivotTable4"/>
    <pivotTable tabId="1" name="Satisfaction score"/>
  </pivotTables>
  <data>
    <olap pivotCacheId="93931927">
      <levels count="2">
        <level uniqueName="[Calander Table].[Date (Year)].[(All)]" sourceCaption="(All)" count="0"/>
        <level uniqueName="[Calander Table].[Date (Year)].[Date (Year)]" sourceCaption="Date (Year)" count="2">
          <ranges>
            <range startItem="0">
              <i n="[Calander Table].[Date (Year)].&amp;[2024]" c="2024"/>
              <i n="[Calander Table].[Date (Year)].&amp;[2023]" c="2023" nd="1"/>
            </range>
          </ranges>
        </level>
      </levels>
      <selections count="1">
        <selection n="[Calander Table].[Date (Year)].&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1" xr10:uid="{DCD1FEC3-4FCA-4EC9-9634-07A37E9CDEDA}" sourceName="[Calander Table].[Date (Month)]">
  <pivotTables>
    <pivotTable tabId="1" name="month Slicer"/>
    <pivotTable tabId="1" name="count of patients"/>
    <pivotTable tabId="1" name="avg waittime"/>
    <pivotTable tabId="1" name="Satisfaction score"/>
    <pivotTable tabId="1" name="every day count"/>
    <pivotTable tabId="1" name="Year Slicer"/>
    <pivotTable tabId="1" name="Distinct Count of Patients chart"/>
    <pivotTable tabId="1" name="AVG WaitTime Chat"/>
    <pivotTable tabId="1" name="Patient Satisfaction score chart"/>
    <pivotTable tabId="1" name="PivotTable1"/>
    <pivotTable tabId="1" name="patient by Age Group"/>
    <pivotTable tabId="1" name="PivotTable4"/>
    <pivotTable tabId="1" name="Patient By Gender "/>
    <pivotTable tabId="1" name="Department Referral"/>
  </pivotTables>
  <data>
    <olap pivotCacheId="93931927">
      <levels count="2">
        <level uniqueName="[Calander Table].[Date (Month)].[(All)]" sourceCaption="(All)" count="0"/>
        <level uniqueName="[Calander Table].[Date (Month)].[Date (Month)]" sourceCaption="Date (Month)" count="12">
          <ranges>
            <range startItem="0">
              <i n="[Calander Table].[Date (Month)].&amp;[Jan]" c="Jan"/>
              <i n="[Calander Table].[Date (Month)].&amp;[Feb]" c="Feb"/>
              <i n="[Calander Table].[Date (Month)].&amp;[Mar]" c="Mar"/>
              <i n="[Calander Table].[Date (Month)].&amp;[Apr]" c="Apr"/>
              <i n="[Calander Table].[Date (Month)].&amp;[May]" c="May"/>
              <i n="[Calander Table].[Date (Month)].&amp;[Jun]" c="Jun"/>
              <i n="[Calander Table].[Date (Month)].&amp;[Jul]" c="Jul"/>
              <i n="[Calander Table].[Date (Month)].&amp;[Aug]" c="Aug"/>
              <i n="[Calander Table].[Date (Month)].&amp;[Sep]" c="Sep"/>
              <i n="[Calander Table].[Date (Month)].&amp;[Oct]" c="Oct"/>
              <i n="[Calander Table].[Date (Month)].&amp;[Nov]" c="Nov" nd="1"/>
              <i n="[Calander Table].[Date (Month)].&amp;[Dec]" c="Dec" nd="1"/>
            </range>
          </ranges>
        </level>
      </levels>
      <selections count="1">
        <selection n="[Calander Table].[Date (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D0B832BD-DDF7-467C-90E4-B635B07E9751}" cache="Slicer_Date__Year" caption="Date (Year)" columnCount="2" showCaption="0" level="1" style="my own style" rowHeight="288000"/>
  <slicer name="Date (Month) 1" xr10:uid="{39C3E5B3-E7DE-4045-957C-DEC2872C2B97}" cache="Slicer_Date__Month1" caption="Date (Month)" columnCount="6" showCaption="0" level="1" style="my own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975B-665F-4891-8D0C-F69F9DC250C8}">
  <dimension ref="A1:R42"/>
  <sheetViews>
    <sheetView zoomScale="61" workbookViewId="0">
      <selection activeCell="K24" sqref="K24"/>
    </sheetView>
  </sheetViews>
  <sheetFormatPr defaultRowHeight="14.4" x14ac:dyDescent="0.3"/>
  <cols>
    <col min="1" max="1" width="12.77734375" bestFit="1" customWidth="1"/>
    <col min="2" max="2" width="25" bestFit="1" customWidth="1"/>
    <col min="3" max="3" width="8.88671875" customWidth="1"/>
    <col min="4" max="4" width="12.5546875" bestFit="1" customWidth="1"/>
    <col min="5" max="5" width="23.88671875" bestFit="1" customWidth="1"/>
    <col min="7" max="7" width="17.109375" customWidth="1"/>
    <col min="8" max="8" width="32.44140625" bestFit="1" customWidth="1"/>
    <col min="9" max="9" width="13" customWidth="1"/>
    <col min="10" max="10" width="28.88671875" bestFit="1" customWidth="1"/>
    <col min="11" max="11" width="27.109375" bestFit="1" customWidth="1"/>
    <col min="14" max="14" width="16.109375" customWidth="1"/>
    <col min="15" max="15" width="33.33203125" customWidth="1"/>
    <col min="16" max="16" width="8.77734375" customWidth="1"/>
    <col min="17" max="17" width="23.6640625" bestFit="1" customWidth="1"/>
    <col min="18" max="18" width="28.77734375" bestFit="1" customWidth="1"/>
  </cols>
  <sheetData>
    <row r="1" spans="1:18" x14ac:dyDescent="0.3">
      <c r="B1" t="s">
        <v>8</v>
      </c>
      <c r="E1" t="s">
        <v>9</v>
      </c>
      <c r="H1" t="s">
        <v>10</v>
      </c>
      <c r="J1" s="2" t="s">
        <v>3</v>
      </c>
      <c r="K1" t="s">
        <v>5</v>
      </c>
    </row>
    <row r="2" spans="1:18" x14ac:dyDescent="0.3">
      <c r="B2" t="s">
        <v>1</v>
      </c>
      <c r="E2" t="s">
        <v>16</v>
      </c>
      <c r="H2" t="s">
        <v>2</v>
      </c>
      <c r="J2" s="3" t="s">
        <v>47</v>
      </c>
      <c r="K2" s="11">
        <v>513</v>
      </c>
      <c r="N2" s="2" t="s">
        <v>3</v>
      </c>
      <c r="O2" t="s">
        <v>13</v>
      </c>
      <c r="Q2" s="10" t="s">
        <v>26</v>
      </c>
    </row>
    <row r="3" spans="1:18" x14ac:dyDescent="0.3">
      <c r="B3" s="1">
        <v>36.323586744639378</v>
      </c>
      <c r="E3" s="11">
        <v>513</v>
      </c>
      <c r="H3" s="1">
        <v>4.9591836734693882</v>
      </c>
      <c r="J3" s="3" t="s">
        <v>4</v>
      </c>
      <c r="K3" s="11">
        <v>513</v>
      </c>
      <c r="N3" s="3" t="s">
        <v>14</v>
      </c>
      <c r="O3" s="1">
        <v>269</v>
      </c>
      <c r="Q3" s="2" t="s">
        <v>3</v>
      </c>
      <c r="R3" t="s">
        <v>25</v>
      </c>
    </row>
    <row r="4" spans="1:18" x14ac:dyDescent="0.3">
      <c r="B4" t="s">
        <v>7</v>
      </c>
      <c r="E4" t="s">
        <v>12</v>
      </c>
      <c r="H4" t="s">
        <v>11</v>
      </c>
      <c r="N4" s="3" t="s">
        <v>15</v>
      </c>
      <c r="O4" s="1">
        <v>244</v>
      </c>
      <c r="Q4" s="3" t="s">
        <v>17</v>
      </c>
      <c r="R4" s="11">
        <v>76</v>
      </c>
    </row>
    <row r="5" spans="1:18" x14ac:dyDescent="0.3">
      <c r="A5" s="2" t="s">
        <v>3</v>
      </c>
      <c r="B5" t="s">
        <v>1</v>
      </c>
      <c r="D5" s="2" t="s">
        <v>3</v>
      </c>
      <c r="E5" t="s">
        <v>0</v>
      </c>
      <c r="G5" s="2" t="s">
        <v>3</v>
      </c>
      <c r="H5" t="s">
        <v>2</v>
      </c>
      <c r="N5" s="3" t="s">
        <v>4</v>
      </c>
      <c r="O5" s="1">
        <v>513</v>
      </c>
      <c r="Q5" s="3" t="s">
        <v>18</v>
      </c>
      <c r="R5" s="11">
        <v>69</v>
      </c>
    </row>
    <row r="6" spans="1:18" x14ac:dyDescent="0.3">
      <c r="A6" s="3" t="s">
        <v>49</v>
      </c>
      <c r="B6" s="1">
        <v>37.789473684210527</v>
      </c>
      <c r="D6" s="3" t="s">
        <v>49</v>
      </c>
      <c r="E6" s="11">
        <v>19</v>
      </c>
      <c r="G6" s="3" t="s">
        <v>49</v>
      </c>
      <c r="H6" s="5">
        <v>6.666666666666667</v>
      </c>
      <c r="J6" s="2" t="s">
        <v>3</v>
      </c>
      <c r="K6" t="s">
        <v>5</v>
      </c>
      <c r="Q6" s="3" t="s">
        <v>19</v>
      </c>
      <c r="R6" s="11">
        <v>64</v>
      </c>
    </row>
    <row r="7" spans="1:18" x14ac:dyDescent="0.3">
      <c r="A7" s="3" t="s">
        <v>50</v>
      </c>
      <c r="B7" s="1">
        <v>38.214285714285715</v>
      </c>
      <c r="D7" s="3" t="s">
        <v>50</v>
      </c>
      <c r="E7" s="11">
        <v>14</v>
      </c>
      <c r="G7" s="3" t="s">
        <v>50</v>
      </c>
      <c r="H7" s="5">
        <v>3.5</v>
      </c>
      <c r="J7" s="3" t="s">
        <v>48</v>
      </c>
      <c r="K7" s="11">
        <v>513</v>
      </c>
      <c r="N7" s="3" t="s">
        <v>14</v>
      </c>
      <c r="O7" t="str">
        <f>TEXT(O3/O5,"0%")&amp;" ("&amp;O3&amp;")"</f>
        <v>52% (269)</v>
      </c>
      <c r="Q7" s="3" t="s">
        <v>20</v>
      </c>
      <c r="R7" s="11">
        <v>59</v>
      </c>
    </row>
    <row r="8" spans="1:18" x14ac:dyDescent="0.3">
      <c r="A8" s="3" t="s">
        <v>51</v>
      </c>
      <c r="B8" s="1">
        <v>40.92307692307692</v>
      </c>
      <c r="D8" s="3" t="s">
        <v>51</v>
      </c>
      <c r="E8" s="11">
        <v>13</v>
      </c>
      <c r="G8" s="3" t="s">
        <v>51</v>
      </c>
      <c r="H8" s="5">
        <v>4.5</v>
      </c>
      <c r="J8" s="3" t="s">
        <v>4</v>
      </c>
      <c r="K8" s="11">
        <v>513</v>
      </c>
      <c r="N8" s="3" t="s">
        <v>15</v>
      </c>
      <c r="O8" t="str">
        <f>TEXT(O4/O5,"0%")&amp;" ("&amp;O4&amp;")"</f>
        <v>48% (244)</v>
      </c>
      <c r="Q8" s="3" t="s">
        <v>21</v>
      </c>
      <c r="R8" s="11">
        <v>58</v>
      </c>
    </row>
    <row r="9" spans="1:18" x14ac:dyDescent="0.3">
      <c r="A9" s="3" t="s">
        <v>52</v>
      </c>
      <c r="B9" s="1">
        <v>34.5</v>
      </c>
      <c r="D9" s="3" t="s">
        <v>52</v>
      </c>
      <c r="E9" s="11">
        <v>22</v>
      </c>
      <c r="G9" s="3" t="s">
        <v>52</v>
      </c>
      <c r="H9" s="5">
        <v>4.8</v>
      </c>
      <c r="Q9" s="3" t="s">
        <v>22</v>
      </c>
      <c r="R9" s="11">
        <v>66</v>
      </c>
    </row>
    <row r="10" spans="1:18" x14ac:dyDescent="0.3">
      <c r="A10" s="3" t="s">
        <v>53</v>
      </c>
      <c r="B10" s="1">
        <v>30.684210526315791</v>
      </c>
      <c r="D10" s="3" t="s">
        <v>53</v>
      </c>
      <c r="E10" s="11">
        <v>19</v>
      </c>
      <c r="G10" s="3" t="s">
        <v>53</v>
      </c>
      <c r="H10" s="5">
        <v>7.75</v>
      </c>
      <c r="J10" s="2" t="s">
        <v>3</v>
      </c>
      <c r="K10" t="s">
        <v>6</v>
      </c>
      <c r="Q10" s="3" t="s">
        <v>23</v>
      </c>
      <c r="R10" s="11">
        <v>67</v>
      </c>
    </row>
    <row r="11" spans="1:18" x14ac:dyDescent="0.3">
      <c r="A11" s="3" t="s">
        <v>54</v>
      </c>
      <c r="B11" s="1">
        <v>37.666666666666664</v>
      </c>
      <c r="D11" s="3" t="s">
        <v>54</v>
      </c>
      <c r="E11" s="11">
        <v>15</v>
      </c>
      <c r="G11" s="3" t="s">
        <v>54</v>
      </c>
      <c r="H11" s="5">
        <v>6.2</v>
      </c>
      <c r="J11" s="3" t="s">
        <v>49</v>
      </c>
      <c r="K11" s="11">
        <v>19</v>
      </c>
      <c r="N11" s="10" t="s">
        <v>45</v>
      </c>
      <c r="Q11" s="3" t="s">
        <v>24</v>
      </c>
      <c r="R11" s="11">
        <v>54</v>
      </c>
    </row>
    <row r="12" spans="1:18" x14ac:dyDescent="0.3">
      <c r="A12" s="3" t="s">
        <v>55</v>
      </c>
      <c r="B12" s="1">
        <v>36.083333333333336</v>
      </c>
      <c r="D12" s="3" t="s">
        <v>55</v>
      </c>
      <c r="E12" s="11">
        <v>12</v>
      </c>
      <c r="G12" s="3" t="s">
        <v>55</v>
      </c>
      <c r="H12" s="5">
        <v>3.75</v>
      </c>
      <c r="J12" s="3" t="s">
        <v>50</v>
      </c>
      <c r="K12" s="11">
        <v>14</v>
      </c>
      <c r="N12" s="2" t="s">
        <v>3</v>
      </c>
      <c r="O12" t="s">
        <v>44</v>
      </c>
      <c r="Q12" s="3" t="s">
        <v>4</v>
      </c>
      <c r="R12" s="11">
        <v>513</v>
      </c>
    </row>
    <row r="13" spans="1:18" x14ac:dyDescent="0.3">
      <c r="A13" s="3" t="s">
        <v>56</v>
      </c>
      <c r="B13" s="1">
        <v>43.523809523809526</v>
      </c>
      <c r="D13" s="3" t="s">
        <v>56</v>
      </c>
      <c r="E13" s="11">
        <v>21</v>
      </c>
      <c r="G13" s="3" t="s">
        <v>56</v>
      </c>
      <c r="H13" s="5">
        <v>6.5</v>
      </c>
      <c r="J13" s="3" t="s">
        <v>51</v>
      </c>
      <c r="K13" s="11">
        <v>13</v>
      </c>
      <c r="N13" s="3" t="s">
        <v>37</v>
      </c>
      <c r="O13" s="11">
        <v>4</v>
      </c>
    </row>
    <row r="14" spans="1:18" x14ac:dyDescent="0.3">
      <c r="A14" s="3" t="s">
        <v>57</v>
      </c>
      <c r="B14" s="1">
        <v>29.5</v>
      </c>
      <c r="D14" s="3" t="s">
        <v>57</v>
      </c>
      <c r="E14" s="11">
        <v>12</v>
      </c>
      <c r="G14" s="3" t="s">
        <v>57</v>
      </c>
      <c r="H14" s="5">
        <v>3</v>
      </c>
      <c r="J14" s="3" t="s">
        <v>52</v>
      </c>
      <c r="K14" s="11">
        <v>22</v>
      </c>
      <c r="N14" s="3" t="s">
        <v>43</v>
      </c>
      <c r="O14" s="11">
        <v>5</v>
      </c>
      <c r="Q14" s="9" t="s">
        <v>29</v>
      </c>
    </row>
    <row r="15" spans="1:18" x14ac:dyDescent="0.3">
      <c r="A15" s="3" t="s">
        <v>58</v>
      </c>
      <c r="B15" s="1">
        <v>38.07692307692308</v>
      </c>
      <c r="D15" s="3" t="s">
        <v>58</v>
      </c>
      <c r="E15" s="11">
        <v>13</v>
      </c>
      <c r="G15" s="3" t="s">
        <v>58</v>
      </c>
      <c r="H15" s="5">
        <v>4.5</v>
      </c>
      <c r="J15" s="3" t="s">
        <v>53</v>
      </c>
      <c r="K15" s="11">
        <v>19</v>
      </c>
      <c r="N15" s="3" t="s">
        <v>39</v>
      </c>
      <c r="O15" s="11">
        <v>9</v>
      </c>
      <c r="Q15" s="2" t="s">
        <v>3</v>
      </c>
      <c r="R15" t="s">
        <v>5</v>
      </c>
    </row>
    <row r="16" spans="1:18" x14ac:dyDescent="0.3">
      <c r="A16" s="3" t="s">
        <v>59</v>
      </c>
      <c r="B16" s="1">
        <v>35.846153846153847</v>
      </c>
      <c r="D16" s="3" t="s">
        <v>59</v>
      </c>
      <c r="E16" s="11">
        <v>13</v>
      </c>
      <c r="G16" s="3" t="s">
        <v>59</v>
      </c>
      <c r="H16" s="5">
        <v>6</v>
      </c>
      <c r="J16" s="3" t="s">
        <v>54</v>
      </c>
      <c r="K16" s="11">
        <v>15</v>
      </c>
      <c r="N16" s="3" t="s">
        <v>42</v>
      </c>
      <c r="O16" s="11">
        <v>14</v>
      </c>
      <c r="Q16" s="3" t="s">
        <v>28</v>
      </c>
      <c r="R16" s="11">
        <v>316</v>
      </c>
    </row>
    <row r="17" spans="1:18" x14ac:dyDescent="0.3">
      <c r="A17" s="3" t="s">
        <v>60</v>
      </c>
      <c r="B17" s="1">
        <v>32.625</v>
      </c>
      <c r="D17" s="3" t="s">
        <v>60</v>
      </c>
      <c r="E17" s="11">
        <v>16</v>
      </c>
      <c r="G17" s="3" t="s">
        <v>60</v>
      </c>
      <c r="H17" s="5">
        <v>5.2</v>
      </c>
      <c r="J17" s="3" t="s">
        <v>55</v>
      </c>
      <c r="K17" s="11">
        <v>12</v>
      </c>
      <c r="N17" s="3" t="s">
        <v>36</v>
      </c>
      <c r="O17" s="11">
        <v>14</v>
      </c>
      <c r="Q17" s="3" t="s">
        <v>27</v>
      </c>
      <c r="R17" s="11">
        <v>197</v>
      </c>
    </row>
    <row r="18" spans="1:18" x14ac:dyDescent="0.3">
      <c r="A18" s="3" t="s">
        <v>61</v>
      </c>
      <c r="B18" s="1">
        <v>39.200000000000003</v>
      </c>
      <c r="D18" s="3" t="s">
        <v>61</v>
      </c>
      <c r="E18" s="11">
        <v>20</v>
      </c>
      <c r="G18" s="3" t="s">
        <v>61</v>
      </c>
      <c r="H18" s="5">
        <v>4.4000000000000004</v>
      </c>
      <c r="J18" s="3" t="s">
        <v>56</v>
      </c>
      <c r="K18" s="11">
        <v>21</v>
      </c>
      <c r="N18" s="3" t="s">
        <v>41</v>
      </c>
      <c r="O18" s="11">
        <v>65</v>
      </c>
      <c r="Q18" s="3" t="s">
        <v>4</v>
      </c>
      <c r="R18" s="11">
        <v>513</v>
      </c>
    </row>
    <row r="19" spans="1:18" x14ac:dyDescent="0.3">
      <c r="A19" s="3" t="s">
        <v>62</v>
      </c>
      <c r="B19" s="1">
        <v>35.28</v>
      </c>
      <c r="D19" s="3" t="s">
        <v>62</v>
      </c>
      <c r="E19" s="11">
        <v>25</v>
      </c>
      <c r="G19" s="3" t="s">
        <v>62</v>
      </c>
      <c r="H19" s="5">
        <v>3.4545454545454546</v>
      </c>
      <c r="J19" s="3" t="s">
        <v>57</v>
      </c>
      <c r="K19" s="11">
        <v>12</v>
      </c>
      <c r="N19" s="3" t="s">
        <v>38</v>
      </c>
      <c r="O19" s="11">
        <v>103</v>
      </c>
    </row>
    <row r="20" spans="1:18" ht="16.8" x14ac:dyDescent="0.4">
      <c r="A20" s="3" t="s">
        <v>63</v>
      </c>
      <c r="B20" s="1">
        <v>32.549999999999997</v>
      </c>
      <c r="D20" s="3" t="s">
        <v>63</v>
      </c>
      <c r="E20" s="11">
        <v>20</v>
      </c>
      <c r="G20" s="3" t="s">
        <v>63</v>
      </c>
      <c r="H20" s="5">
        <v>4.4000000000000004</v>
      </c>
      <c r="J20" s="3" t="s">
        <v>58</v>
      </c>
      <c r="K20" s="11">
        <v>13</v>
      </c>
      <c r="N20" s="3" t="s">
        <v>40</v>
      </c>
      <c r="O20" s="11">
        <v>299</v>
      </c>
      <c r="Q20" s="8" t="s">
        <v>30</v>
      </c>
      <c r="R20" s="7" t="str">
        <f>TEXT(R17/R18,"0%")&amp;" ("&amp;R17&amp;")"</f>
        <v>38% (197)</v>
      </c>
    </row>
    <row r="21" spans="1:18" ht="16.8" x14ac:dyDescent="0.4">
      <c r="A21" s="3" t="s">
        <v>64</v>
      </c>
      <c r="B21" s="1">
        <v>35.642857142857146</v>
      </c>
      <c r="D21" s="3" t="s">
        <v>64</v>
      </c>
      <c r="E21" s="11">
        <v>14</v>
      </c>
      <c r="G21" s="3" t="s">
        <v>64</v>
      </c>
      <c r="H21" s="5">
        <v>5.833333333333333</v>
      </c>
      <c r="J21" s="3" t="s">
        <v>59</v>
      </c>
      <c r="K21" s="11">
        <v>13</v>
      </c>
      <c r="N21" s="3" t="s">
        <v>4</v>
      </c>
      <c r="O21" s="11">
        <v>513</v>
      </c>
      <c r="Q21" s="8" t="s">
        <v>31</v>
      </c>
      <c r="R21" s="7" t="str">
        <f>TEXT(R16/R18,"0%")&amp;" ("&amp;R16&amp;")"</f>
        <v>62% (316)</v>
      </c>
    </row>
    <row r="22" spans="1:18" x14ac:dyDescent="0.3">
      <c r="A22" s="3" t="s">
        <v>65</v>
      </c>
      <c r="B22" s="1">
        <v>38.764705882352942</v>
      </c>
      <c r="D22" s="3" t="s">
        <v>65</v>
      </c>
      <c r="E22" s="11">
        <v>17</v>
      </c>
      <c r="G22" s="3" t="s">
        <v>65</v>
      </c>
      <c r="H22" s="5">
        <v>4.4444444444444446</v>
      </c>
      <c r="J22" s="3" t="s">
        <v>60</v>
      </c>
      <c r="K22" s="11">
        <v>16</v>
      </c>
      <c r="Q22" t="s">
        <v>46</v>
      </c>
    </row>
    <row r="23" spans="1:18" x14ac:dyDescent="0.3">
      <c r="A23" s="3" t="s">
        <v>66</v>
      </c>
      <c r="B23" s="1">
        <v>39.9</v>
      </c>
      <c r="D23" s="3" t="s">
        <v>66</v>
      </c>
      <c r="E23" s="11">
        <v>20</v>
      </c>
      <c r="G23" s="3" t="s">
        <v>66</v>
      </c>
      <c r="H23" s="5">
        <v>5.333333333333333</v>
      </c>
      <c r="J23" s="3" t="s">
        <v>61</v>
      </c>
      <c r="K23" s="11">
        <v>20</v>
      </c>
    </row>
    <row r="24" spans="1:18" x14ac:dyDescent="0.3">
      <c r="A24" s="3" t="s">
        <v>67</v>
      </c>
      <c r="B24" s="1">
        <v>41.6</v>
      </c>
      <c r="D24" s="3" t="s">
        <v>67</v>
      </c>
      <c r="E24" s="11">
        <v>10</v>
      </c>
      <c r="G24" s="3" t="s">
        <v>67</v>
      </c>
      <c r="H24" s="5">
        <v>5.333333333333333</v>
      </c>
      <c r="J24" s="3" t="s">
        <v>62</v>
      </c>
      <c r="K24" s="11">
        <v>25</v>
      </c>
      <c r="N24" s="10" t="s">
        <v>35</v>
      </c>
    </row>
    <row r="25" spans="1:18" x14ac:dyDescent="0.3">
      <c r="A25" s="3" t="s">
        <v>68</v>
      </c>
      <c r="B25" s="1">
        <v>39.470588235294116</v>
      </c>
      <c r="D25" s="3" t="s">
        <v>68</v>
      </c>
      <c r="E25" s="11">
        <v>17</v>
      </c>
      <c r="G25" s="3" t="s">
        <v>68</v>
      </c>
      <c r="H25" s="5">
        <v>5.5714285714285712</v>
      </c>
      <c r="J25" s="3" t="s">
        <v>63</v>
      </c>
      <c r="K25" s="11">
        <v>20</v>
      </c>
      <c r="N25" s="2" t="s">
        <v>3</v>
      </c>
      <c r="O25" t="s">
        <v>34</v>
      </c>
    </row>
    <row r="26" spans="1:18" x14ac:dyDescent="0.3">
      <c r="A26" s="3" t="s">
        <v>69</v>
      </c>
      <c r="B26" s="1">
        <v>27.733333333333334</v>
      </c>
      <c r="D26" s="3" t="s">
        <v>69</v>
      </c>
      <c r="E26" s="11">
        <v>15</v>
      </c>
      <c r="G26" s="3" t="s">
        <v>69</v>
      </c>
      <c r="H26" s="5">
        <v>5</v>
      </c>
      <c r="J26" s="3" t="s">
        <v>64</v>
      </c>
      <c r="K26" s="11">
        <v>14</v>
      </c>
      <c r="N26" s="3" t="s">
        <v>32</v>
      </c>
      <c r="O26" s="11">
        <v>241</v>
      </c>
    </row>
    <row r="27" spans="1:18" x14ac:dyDescent="0.3">
      <c r="A27" s="3" t="s">
        <v>70</v>
      </c>
      <c r="B27" s="1">
        <v>36.875</v>
      </c>
      <c r="D27" s="3" t="s">
        <v>70</v>
      </c>
      <c r="E27" s="11">
        <v>16</v>
      </c>
      <c r="G27" s="3" t="s">
        <v>70</v>
      </c>
      <c r="H27" s="5">
        <v>6.4</v>
      </c>
      <c r="J27" s="3" t="s">
        <v>65</v>
      </c>
      <c r="K27" s="11">
        <v>17</v>
      </c>
      <c r="N27" s="3" t="s">
        <v>33</v>
      </c>
      <c r="O27" s="11">
        <v>272</v>
      </c>
    </row>
    <row r="28" spans="1:18" x14ac:dyDescent="0.3">
      <c r="A28" s="3" t="s">
        <v>71</v>
      </c>
      <c r="B28" s="1">
        <v>40.333333333333336</v>
      </c>
      <c r="D28" s="3" t="s">
        <v>71</v>
      </c>
      <c r="E28" s="11">
        <v>18</v>
      </c>
      <c r="G28" s="3" t="s">
        <v>71</v>
      </c>
      <c r="H28" s="5">
        <v>5.333333333333333</v>
      </c>
      <c r="J28" s="3" t="s">
        <v>66</v>
      </c>
      <c r="K28" s="11">
        <v>20</v>
      </c>
      <c r="N28" s="3" t="s">
        <v>4</v>
      </c>
      <c r="O28" s="11">
        <v>513</v>
      </c>
    </row>
    <row r="29" spans="1:18" x14ac:dyDescent="0.3">
      <c r="A29" s="3" t="s">
        <v>72</v>
      </c>
      <c r="B29" s="1">
        <v>36.5</v>
      </c>
      <c r="D29" s="3" t="s">
        <v>72</v>
      </c>
      <c r="E29" s="11">
        <v>16</v>
      </c>
      <c r="G29" s="3" t="s">
        <v>72</v>
      </c>
      <c r="H29" s="5">
        <v>3.75</v>
      </c>
      <c r="J29" s="3" t="s">
        <v>67</v>
      </c>
      <c r="K29" s="11">
        <v>10</v>
      </c>
    </row>
    <row r="30" spans="1:18" x14ac:dyDescent="0.3">
      <c r="A30" s="3" t="s">
        <v>73</v>
      </c>
      <c r="B30" s="1">
        <v>32.866666666666667</v>
      </c>
      <c r="D30" s="3" t="s">
        <v>73</v>
      </c>
      <c r="E30" s="11">
        <v>15</v>
      </c>
      <c r="G30" s="3" t="s">
        <v>73</v>
      </c>
      <c r="H30" s="5">
        <v>6.333333333333333</v>
      </c>
      <c r="J30" s="3" t="s">
        <v>68</v>
      </c>
      <c r="K30" s="11">
        <v>17</v>
      </c>
      <c r="N30" s="3" t="s">
        <v>32</v>
      </c>
      <c r="O30" t="str">
        <f>TEXT(O26/O28,"0%")&amp;" ("&amp;O26&amp;")"</f>
        <v>47% (241)</v>
      </c>
    </row>
    <row r="31" spans="1:18" x14ac:dyDescent="0.3">
      <c r="A31" s="3" t="s">
        <v>74</v>
      </c>
      <c r="B31" s="1">
        <v>36.642857142857146</v>
      </c>
      <c r="D31" s="3" t="s">
        <v>74</v>
      </c>
      <c r="E31" s="11">
        <v>14</v>
      </c>
      <c r="G31" s="3" t="s">
        <v>74</v>
      </c>
      <c r="H31" s="5">
        <v>10</v>
      </c>
      <c r="J31" s="3" t="s">
        <v>69</v>
      </c>
      <c r="K31" s="11">
        <v>15</v>
      </c>
      <c r="N31" s="3" t="s">
        <v>33</v>
      </c>
      <c r="O31" t="str">
        <f>TEXT(O27/O28,"0%")&amp;" ("&amp;O27&amp;")"</f>
        <v>53% (272)</v>
      </c>
    </row>
    <row r="32" spans="1:18" x14ac:dyDescent="0.3">
      <c r="A32" s="3" t="s">
        <v>75</v>
      </c>
      <c r="B32" s="1">
        <v>36.5625</v>
      </c>
      <c r="D32" s="3" t="s">
        <v>75</v>
      </c>
      <c r="E32" s="11">
        <v>16</v>
      </c>
      <c r="G32" s="3" t="s">
        <v>75</v>
      </c>
      <c r="H32" s="5">
        <v>5</v>
      </c>
      <c r="J32" s="3" t="s">
        <v>70</v>
      </c>
      <c r="K32" s="11">
        <v>16</v>
      </c>
    </row>
    <row r="33" spans="1:11" x14ac:dyDescent="0.3">
      <c r="A33" s="3" t="s">
        <v>76</v>
      </c>
      <c r="B33" s="1">
        <v>32.15</v>
      </c>
      <c r="D33" s="3" t="s">
        <v>76</v>
      </c>
      <c r="E33" s="11">
        <v>20</v>
      </c>
      <c r="G33" s="3" t="s">
        <v>76</v>
      </c>
      <c r="H33" s="5">
        <v>5.333333333333333</v>
      </c>
      <c r="J33" s="3" t="s">
        <v>71</v>
      </c>
      <c r="K33" s="11">
        <v>18</v>
      </c>
    </row>
    <row r="34" spans="1:11" x14ac:dyDescent="0.3">
      <c r="A34" s="3" t="s">
        <v>77</v>
      </c>
      <c r="B34" s="1">
        <v>38.368421052631582</v>
      </c>
      <c r="D34" s="3" t="s">
        <v>77</v>
      </c>
      <c r="E34" s="11">
        <v>19</v>
      </c>
      <c r="G34" s="3" t="s">
        <v>77</v>
      </c>
      <c r="H34" s="5">
        <v>4.8</v>
      </c>
      <c r="J34" s="3" t="s">
        <v>72</v>
      </c>
      <c r="K34" s="11">
        <v>16</v>
      </c>
    </row>
    <row r="35" spans="1:11" x14ac:dyDescent="0.3">
      <c r="A35" s="3" t="s">
        <v>78</v>
      </c>
      <c r="B35" s="1">
        <v>33.071428571428569</v>
      </c>
      <c r="D35" s="3" t="s">
        <v>78</v>
      </c>
      <c r="E35" s="11">
        <v>14</v>
      </c>
      <c r="G35" s="3" t="s">
        <v>78</v>
      </c>
      <c r="H35" s="5">
        <v>5</v>
      </c>
      <c r="J35" s="3" t="s">
        <v>73</v>
      </c>
      <c r="K35" s="11">
        <v>15</v>
      </c>
    </row>
    <row r="36" spans="1:11" x14ac:dyDescent="0.3">
      <c r="A36" s="3" t="s">
        <v>79</v>
      </c>
      <c r="B36" s="1">
        <v>36.444444444444443</v>
      </c>
      <c r="D36" s="3" t="s">
        <v>79</v>
      </c>
      <c r="E36" s="11">
        <v>18</v>
      </c>
      <c r="G36" s="3" t="s">
        <v>79</v>
      </c>
      <c r="H36" s="5">
        <v>1.4</v>
      </c>
      <c r="J36" s="3" t="s">
        <v>74</v>
      </c>
      <c r="K36" s="11">
        <v>14</v>
      </c>
    </row>
    <row r="37" spans="1:11" x14ac:dyDescent="0.3">
      <c r="A37" s="3" t="s">
        <v>4</v>
      </c>
      <c r="B37" s="1">
        <v>36.323586744639378</v>
      </c>
      <c r="D37" s="3" t="s">
        <v>4</v>
      </c>
      <c r="E37" s="11">
        <v>513</v>
      </c>
      <c r="G37" s="3" t="s">
        <v>4</v>
      </c>
      <c r="H37" s="5">
        <v>4.9591836734693882</v>
      </c>
      <c r="J37" s="3" t="s">
        <v>75</v>
      </c>
      <c r="K37" s="11">
        <v>16</v>
      </c>
    </row>
    <row r="38" spans="1:11" x14ac:dyDescent="0.3">
      <c r="J38" s="3" t="s">
        <v>76</v>
      </c>
      <c r="K38" s="11">
        <v>20</v>
      </c>
    </row>
    <row r="39" spans="1:11" x14ac:dyDescent="0.3">
      <c r="J39" s="3" t="s">
        <v>77</v>
      </c>
      <c r="K39" s="11">
        <v>19</v>
      </c>
    </row>
    <row r="40" spans="1:11" x14ac:dyDescent="0.3">
      <c r="J40" s="3" t="s">
        <v>78</v>
      </c>
      <c r="K40" s="11">
        <v>14</v>
      </c>
    </row>
    <row r="41" spans="1:11" x14ac:dyDescent="0.3">
      <c r="J41" s="3" t="s">
        <v>79</v>
      </c>
      <c r="K41" s="11">
        <v>18</v>
      </c>
    </row>
    <row r="42" spans="1:11" x14ac:dyDescent="0.3">
      <c r="J42" s="3" t="s">
        <v>4</v>
      </c>
      <c r="K42" s="11">
        <v>513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1E1A-9E77-41CE-AB1E-A7739C9C9FBE}">
  <dimension ref="A1"/>
  <sheetViews>
    <sheetView tabSelected="1" zoomScale="79" zoomScaleNormal="80" workbookViewId="0">
      <selection activeCell="Z20" sqref="Z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F68F2-8DDA-4D45-9611-6C17C73F9CAA}">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CE30-822A-49EB-B2AD-98588F7B4A95}">
  <dimension ref="A1:T29"/>
  <sheetViews>
    <sheetView zoomScale="90" workbookViewId="0"/>
  </sheetViews>
  <sheetFormatPr defaultRowHeight="14.4" x14ac:dyDescent="0.3"/>
  <sheetData>
    <row r="1" spans="1:20" x14ac:dyDescent="0.3">
      <c r="A1" s="4"/>
      <c r="B1" s="4"/>
      <c r="C1" s="4"/>
      <c r="D1" s="4"/>
      <c r="E1" s="4"/>
      <c r="F1" s="4"/>
      <c r="G1" s="4"/>
      <c r="H1" s="4"/>
      <c r="I1" s="4"/>
      <c r="J1" s="4"/>
      <c r="K1" s="4"/>
      <c r="L1" s="4"/>
      <c r="M1" s="4"/>
      <c r="N1" s="4"/>
      <c r="O1" s="4"/>
      <c r="P1" s="4"/>
      <c r="Q1" s="4"/>
      <c r="R1" s="4"/>
      <c r="S1" s="4"/>
      <c r="T1" s="4"/>
    </row>
    <row r="2" spans="1:20" x14ac:dyDescent="0.3">
      <c r="A2" s="4"/>
      <c r="B2" s="4"/>
      <c r="C2" s="4"/>
      <c r="D2" s="4"/>
      <c r="E2" s="4"/>
      <c r="F2" s="4"/>
      <c r="G2" s="4"/>
      <c r="H2" s="4"/>
      <c r="I2" s="4"/>
      <c r="J2" s="4"/>
      <c r="K2" s="4"/>
      <c r="L2" s="4"/>
      <c r="M2" s="4"/>
      <c r="N2" s="4"/>
      <c r="O2" s="4"/>
      <c r="P2" s="4"/>
      <c r="Q2" s="4"/>
      <c r="R2" s="4"/>
      <c r="S2" s="4"/>
      <c r="T2" s="4"/>
    </row>
    <row r="3" spans="1:20" x14ac:dyDescent="0.3">
      <c r="A3" s="4"/>
      <c r="B3" s="4"/>
      <c r="C3" s="4"/>
      <c r="D3" s="4"/>
      <c r="E3" s="4"/>
      <c r="F3" s="4"/>
      <c r="G3" s="4"/>
      <c r="H3" s="4"/>
      <c r="I3" s="4"/>
      <c r="J3" s="4"/>
      <c r="K3" s="4"/>
      <c r="L3" s="4"/>
      <c r="M3" s="4"/>
      <c r="N3" s="4"/>
      <c r="O3" s="4"/>
      <c r="P3" s="4"/>
      <c r="Q3" s="4"/>
      <c r="R3" s="4"/>
      <c r="S3" s="4"/>
      <c r="T3" s="4"/>
    </row>
    <row r="4" spans="1:20" x14ac:dyDescent="0.3">
      <c r="A4" s="4"/>
      <c r="B4" s="4"/>
      <c r="C4" s="4"/>
      <c r="D4" s="4"/>
      <c r="E4" s="4"/>
      <c r="F4" s="4"/>
      <c r="G4" s="4"/>
      <c r="H4" s="4"/>
      <c r="I4" s="4"/>
      <c r="J4" s="4"/>
      <c r="K4" s="4"/>
      <c r="L4" s="4"/>
      <c r="M4" s="4"/>
      <c r="N4" s="4"/>
      <c r="O4" s="4"/>
      <c r="P4" s="4"/>
      <c r="Q4" s="4"/>
      <c r="R4" s="4"/>
      <c r="S4" s="4"/>
      <c r="T4" s="4"/>
    </row>
    <row r="5" spans="1:20" x14ac:dyDescent="0.3">
      <c r="A5" s="4"/>
      <c r="B5" s="4"/>
      <c r="C5" s="4"/>
      <c r="D5" s="4"/>
      <c r="E5" s="4"/>
      <c r="F5" s="4"/>
      <c r="G5" s="4"/>
      <c r="H5" s="4"/>
      <c r="I5" s="4"/>
      <c r="J5" s="4"/>
      <c r="K5" s="4"/>
      <c r="L5" s="4"/>
      <c r="M5" s="4"/>
      <c r="N5" s="4"/>
      <c r="O5" s="4"/>
      <c r="P5" s="4"/>
      <c r="Q5" s="4"/>
      <c r="R5" s="4"/>
      <c r="S5" s="4"/>
      <c r="T5" s="4"/>
    </row>
    <row r="6" spans="1:20" x14ac:dyDescent="0.3">
      <c r="A6" s="4"/>
      <c r="B6" s="4"/>
      <c r="C6" s="4"/>
      <c r="D6" s="4"/>
      <c r="E6" s="4"/>
      <c r="F6" s="4"/>
      <c r="G6" s="4"/>
      <c r="H6" s="4"/>
      <c r="I6" s="4"/>
      <c r="J6" s="4"/>
      <c r="K6" s="4"/>
      <c r="L6" s="4"/>
      <c r="M6" s="4"/>
      <c r="N6" s="4"/>
      <c r="O6" s="4"/>
      <c r="P6" s="4"/>
      <c r="Q6" s="4"/>
      <c r="R6" s="4"/>
      <c r="S6" s="4"/>
      <c r="T6" s="4"/>
    </row>
    <row r="7" spans="1:20" x14ac:dyDescent="0.3">
      <c r="A7" s="4"/>
      <c r="B7" s="4"/>
      <c r="C7" s="4"/>
      <c r="D7" s="4"/>
      <c r="E7" s="4"/>
      <c r="F7" s="4"/>
      <c r="G7" s="4"/>
      <c r="H7" s="4"/>
      <c r="I7" s="4"/>
      <c r="J7" s="4"/>
      <c r="K7" s="4"/>
      <c r="L7" s="4"/>
      <c r="M7" s="4"/>
      <c r="N7" s="4"/>
      <c r="O7" s="4"/>
      <c r="P7" s="4"/>
      <c r="Q7" s="4"/>
      <c r="R7" s="4"/>
      <c r="S7" s="4"/>
      <c r="T7" s="4"/>
    </row>
    <row r="8" spans="1:20" x14ac:dyDescent="0.3">
      <c r="A8" s="4"/>
      <c r="B8" s="4"/>
      <c r="C8" s="4"/>
      <c r="D8" s="4"/>
      <c r="E8" s="4"/>
      <c r="F8" s="4"/>
      <c r="G8" s="4"/>
      <c r="H8" s="4"/>
      <c r="I8" s="4"/>
      <c r="J8" s="4"/>
      <c r="K8" s="4"/>
      <c r="L8" s="4"/>
      <c r="M8" s="4"/>
      <c r="N8" s="4"/>
      <c r="O8" s="4"/>
      <c r="P8" s="4"/>
      <c r="Q8" s="4"/>
      <c r="R8" s="4"/>
      <c r="S8" s="4"/>
      <c r="T8" s="4"/>
    </row>
    <row r="9" spans="1:20" x14ac:dyDescent="0.3">
      <c r="A9" s="4"/>
      <c r="B9" s="4"/>
      <c r="C9" s="4"/>
      <c r="D9" s="4"/>
      <c r="E9" s="4"/>
      <c r="F9" s="4"/>
      <c r="G9" s="4"/>
      <c r="H9" s="4"/>
      <c r="I9" s="4"/>
      <c r="J9" s="4"/>
      <c r="K9" s="4"/>
      <c r="L9" s="4"/>
      <c r="M9" s="4"/>
      <c r="N9" s="4"/>
      <c r="O9" s="4"/>
      <c r="P9" s="4"/>
      <c r="Q9" s="4"/>
      <c r="R9" s="4"/>
      <c r="S9" s="4"/>
      <c r="T9" s="4"/>
    </row>
    <row r="10" spans="1:20" x14ac:dyDescent="0.3">
      <c r="A10" s="4"/>
      <c r="B10" s="4"/>
      <c r="C10" s="4"/>
      <c r="D10" s="4"/>
      <c r="E10" s="4"/>
      <c r="F10" s="4"/>
      <c r="G10" s="4"/>
      <c r="H10" s="4"/>
      <c r="I10" s="4"/>
      <c r="J10" s="4"/>
      <c r="K10" s="4"/>
      <c r="L10" s="4"/>
      <c r="M10" s="4"/>
      <c r="N10" s="4"/>
      <c r="O10" s="4"/>
      <c r="P10" s="4"/>
      <c r="Q10" s="4"/>
      <c r="R10" s="4"/>
      <c r="S10" s="4"/>
      <c r="T10" s="4"/>
    </row>
    <row r="11" spans="1:20" x14ac:dyDescent="0.3">
      <c r="A11" s="4"/>
      <c r="B11" s="4"/>
      <c r="C11" s="4"/>
      <c r="D11" s="4"/>
      <c r="E11" s="4"/>
      <c r="F11" s="4"/>
      <c r="G11" s="4"/>
      <c r="H11" s="4"/>
      <c r="I11" s="4"/>
      <c r="J11" s="4"/>
      <c r="K11" s="4"/>
      <c r="L11" s="4"/>
      <c r="M11" s="4"/>
      <c r="N11" s="4"/>
      <c r="O11" s="4"/>
      <c r="P11" s="4"/>
      <c r="Q11" s="4"/>
      <c r="R11" s="4"/>
      <c r="S11" s="4"/>
      <c r="T11" s="4"/>
    </row>
    <row r="12" spans="1:20" x14ac:dyDescent="0.3">
      <c r="A12" s="4"/>
      <c r="B12" s="4"/>
      <c r="C12" s="4"/>
      <c r="D12" s="4"/>
      <c r="E12" s="4"/>
      <c r="F12" s="4"/>
      <c r="G12" s="4"/>
      <c r="H12" s="4"/>
      <c r="I12" s="4"/>
      <c r="J12" s="4"/>
      <c r="K12" s="4"/>
      <c r="L12" s="4"/>
      <c r="M12" s="4"/>
      <c r="N12" s="4"/>
      <c r="O12" s="4"/>
      <c r="P12" s="4"/>
      <c r="Q12" s="4"/>
      <c r="R12" s="4"/>
      <c r="S12" s="4"/>
      <c r="T12" s="4"/>
    </row>
    <row r="13" spans="1:20" x14ac:dyDescent="0.3">
      <c r="A13" s="4"/>
      <c r="B13" s="4"/>
      <c r="C13" s="4"/>
      <c r="D13" s="4"/>
      <c r="E13" s="4"/>
      <c r="F13" s="4"/>
      <c r="G13" s="4"/>
      <c r="H13" s="4"/>
      <c r="I13" s="4"/>
      <c r="J13" s="4"/>
      <c r="K13" s="4"/>
      <c r="L13" s="4"/>
      <c r="M13" s="4"/>
      <c r="N13" s="4"/>
      <c r="O13" s="4"/>
      <c r="P13" s="4"/>
      <c r="Q13" s="4"/>
      <c r="R13" s="4"/>
      <c r="S13" s="4"/>
      <c r="T13" s="4"/>
    </row>
    <row r="14" spans="1:20" x14ac:dyDescent="0.3">
      <c r="A14" s="4"/>
      <c r="B14" s="4"/>
      <c r="C14" s="4"/>
      <c r="D14" s="4"/>
      <c r="E14" s="4"/>
      <c r="F14" s="4"/>
      <c r="G14" s="4"/>
      <c r="H14" s="4"/>
      <c r="I14" s="4"/>
      <c r="J14" s="4"/>
      <c r="K14" s="4"/>
      <c r="L14" s="4"/>
      <c r="M14" s="4"/>
      <c r="N14" s="4"/>
      <c r="O14" s="4"/>
      <c r="P14" s="4"/>
      <c r="Q14" s="4"/>
      <c r="R14" s="4"/>
      <c r="S14" s="4"/>
      <c r="T14" s="4"/>
    </row>
    <row r="15" spans="1:20" x14ac:dyDescent="0.3">
      <c r="A15" s="4"/>
      <c r="B15" s="4"/>
      <c r="C15" s="4"/>
      <c r="D15" s="4"/>
      <c r="E15" s="4"/>
      <c r="F15" s="4"/>
      <c r="G15" s="4"/>
      <c r="H15" s="4"/>
      <c r="I15" s="4"/>
      <c r="J15" s="4"/>
      <c r="K15" s="4"/>
      <c r="L15" s="4"/>
      <c r="M15" s="4"/>
      <c r="N15" s="4"/>
      <c r="O15" s="4"/>
      <c r="P15" s="4"/>
      <c r="Q15" s="4"/>
      <c r="R15" s="4"/>
      <c r="S15" s="4"/>
      <c r="T15" s="4"/>
    </row>
    <row r="16" spans="1:20" x14ac:dyDescent="0.3">
      <c r="A16" s="4"/>
      <c r="B16" s="4"/>
      <c r="C16" s="4"/>
      <c r="D16" s="4"/>
      <c r="E16" s="4"/>
      <c r="F16" s="4"/>
      <c r="G16" s="4"/>
      <c r="H16" s="4"/>
      <c r="I16" s="4"/>
      <c r="J16" s="4"/>
      <c r="K16" s="4"/>
      <c r="L16" s="4"/>
      <c r="M16" s="4"/>
      <c r="N16" s="4"/>
      <c r="O16" s="4"/>
      <c r="P16" s="4"/>
      <c r="Q16" s="4"/>
      <c r="R16" s="4"/>
      <c r="S16" s="4"/>
      <c r="T16" s="4"/>
    </row>
    <row r="17" spans="1:20" x14ac:dyDescent="0.3">
      <c r="A17" s="4"/>
      <c r="B17" s="4"/>
      <c r="C17" s="4"/>
      <c r="D17" s="4"/>
      <c r="E17" s="4"/>
      <c r="F17" s="4"/>
      <c r="G17" s="4"/>
      <c r="H17" s="4"/>
      <c r="I17" s="4"/>
      <c r="J17" s="4"/>
      <c r="K17" s="4"/>
      <c r="L17" s="4"/>
      <c r="M17" s="4"/>
      <c r="N17" s="4"/>
      <c r="O17" s="4"/>
      <c r="P17" s="4"/>
      <c r="Q17" s="4"/>
      <c r="R17" s="4"/>
      <c r="S17" s="4"/>
      <c r="T17" s="4"/>
    </row>
    <row r="18" spans="1:20" x14ac:dyDescent="0.3">
      <c r="A18" s="4"/>
      <c r="B18" s="4"/>
      <c r="C18" s="4"/>
      <c r="D18" s="4"/>
      <c r="E18" s="4"/>
      <c r="F18" s="4"/>
      <c r="G18" s="4"/>
      <c r="H18" s="4"/>
      <c r="I18" s="4"/>
      <c r="J18" s="4"/>
      <c r="K18" s="4"/>
      <c r="L18" s="4"/>
      <c r="M18" s="4"/>
      <c r="N18" s="4"/>
      <c r="O18" s="4"/>
      <c r="P18" s="4"/>
      <c r="Q18" s="4"/>
      <c r="R18" s="4"/>
      <c r="S18" s="4"/>
      <c r="T18" s="4"/>
    </row>
    <row r="19" spans="1:20" x14ac:dyDescent="0.3">
      <c r="A19" s="4"/>
      <c r="B19" s="4"/>
      <c r="C19" s="4"/>
      <c r="D19" s="4"/>
      <c r="E19" s="4"/>
      <c r="F19" s="4"/>
      <c r="G19" s="4"/>
      <c r="H19" s="4"/>
      <c r="I19" s="4"/>
      <c r="J19" s="4"/>
      <c r="K19" s="4"/>
      <c r="L19" s="4"/>
      <c r="M19" s="4"/>
      <c r="N19" s="4"/>
      <c r="O19" s="4"/>
      <c r="P19" s="4"/>
      <c r="Q19" s="4"/>
      <c r="R19" s="4"/>
      <c r="S19" s="4"/>
      <c r="T19" s="4"/>
    </row>
    <row r="20" spans="1:20" x14ac:dyDescent="0.3">
      <c r="A20" s="4"/>
      <c r="B20" s="4"/>
      <c r="C20" s="4"/>
      <c r="D20" s="4"/>
      <c r="E20" s="4"/>
      <c r="F20" s="4"/>
      <c r="G20" s="4"/>
      <c r="H20" s="4"/>
      <c r="I20" s="4"/>
      <c r="J20" s="4"/>
      <c r="K20" s="4"/>
      <c r="L20" s="4"/>
      <c r="M20" s="4"/>
      <c r="N20" s="4"/>
      <c r="O20" s="4"/>
      <c r="P20" s="4"/>
      <c r="Q20" s="4"/>
      <c r="R20" s="4"/>
      <c r="S20" s="4"/>
      <c r="T20" s="4"/>
    </row>
    <row r="21" spans="1:20" x14ac:dyDescent="0.3">
      <c r="A21" s="4"/>
      <c r="B21" s="4"/>
      <c r="C21" s="4"/>
      <c r="D21" s="4"/>
      <c r="E21" s="4"/>
      <c r="F21" s="4"/>
      <c r="G21" s="4"/>
      <c r="H21" s="4"/>
      <c r="I21" s="4"/>
      <c r="J21" s="4"/>
      <c r="K21" s="4"/>
      <c r="L21" s="4"/>
      <c r="M21" s="4"/>
      <c r="N21" s="4"/>
      <c r="O21" s="4"/>
      <c r="P21" s="4"/>
      <c r="Q21" s="4"/>
      <c r="R21" s="4"/>
      <c r="S21" s="4"/>
      <c r="T21" s="4"/>
    </row>
    <row r="22" spans="1:20" x14ac:dyDescent="0.3">
      <c r="A22" s="4"/>
      <c r="B22" s="4"/>
      <c r="C22" s="4"/>
      <c r="D22" s="4"/>
      <c r="E22" s="4"/>
      <c r="F22" s="4"/>
      <c r="G22" s="4"/>
      <c r="H22" s="4"/>
      <c r="I22" s="4"/>
      <c r="J22" s="4"/>
      <c r="K22" s="4"/>
      <c r="L22" s="4"/>
      <c r="M22" s="4"/>
      <c r="N22" s="4"/>
      <c r="O22" s="4"/>
      <c r="P22" s="4"/>
      <c r="Q22" s="4"/>
      <c r="R22" s="4"/>
      <c r="S22" s="4"/>
      <c r="T22" s="4"/>
    </row>
    <row r="23" spans="1:20" x14ac:dyDescent="0.3">
      <c r="A23" s="4"/>
      <c r="B23" s="4"/>
      <c r="C23" s="4"/>
      <c r="D23" s="4"/>
      <c r="E23" s="4"/>
      <c r="F23" s="4"/>
      <c r="G23" s="4"/>
      <c r="H23" s="4"/>
      <c r="I23" s="4"/>
      <c r="J23" s="4"/>
      <c r="K23" s="4"/>
      <c r="L23" s="4"/>
      <c r="M23" s="4"/>
      <c r="N23" s="4"/>
      <c r="O23" s="4"/>
      <c r="P23" s="4"/>
      <c r="Q23" s="4"/>
      <c r="R23" s="4"/>
      <c r="S23" s="4"/>
      <c r="T23" s="4"/>
    </row>
    <row r="24" spans="1:20" x14ac:dyDescent="0.3">
      <c r="A24" s="4"/>
      <c r="B24" s="4"/>
      <c r="C24" s="4"/>
      <c r="D24" s="4"/>
      <c r="E24" s="4"/>
      <c r="F24" s="4"/>
      <c r="G24" s="4"/>
      <c r="H24" s="4"/>
      <c r="I24" s="4"/>
      <c r="J24" s="4"/>
      <c r="K24" s="4"/>
      <c r="L24" s="4"/>
      <c r="M24" s="4"/>
      <c r="N24" s="4"/>
      <c r="O24" s="4"/>
      <c r="P24" s="4"/>
      <c r="Q24" s="4"/>
      <c r="R24" s="4"/>
      <c r="S24" s="4"/>
      <c r="T24" s="4"/>
    </row>
    <row r="25" spans="1:20" x14ac:dyDescent="0.3">
      <c r="A25" s="4"/>
      <c r="B25" s="4"/>
      <c r="C25" s="4"/>
      <c r="D25" s="4"/>
      <c r="E25" s="4"/>
      <c r="F25" s="4"/>
      <c r="G25" s="4"/>
      <c r="H25" s="4"/>
      <c r="I25" s="4"/>
      <c r="J25" s="4"/>
      <c r="K25" s="4"/>
      <c r="L25" s="4"/>
      <c r="M25" s="4"/>
      <c r="N25" s="4"/>
      <c r="O25" s="4"/>
      <c r="P25" s="4"/>
      <c r="Q25" s="4"/>
      <c r="R25" s="4"/>
      <c r="S25" s="4"/>
      <c r="T25" s="4"/>
    </row>
    <row r="26" spans="1:20" x14ac:dyDescent="0.3">
      <c r="A26" s="4"/>
      <c r="B26" s="4"/>
      <c r="C26" s="4"/>
      <c r="D26" s="4"/>
      <c r="E26" s="4"/>
      <c r="F26" s="4"/>
      <c r="G26" s="4"/>
      <c r="H26" s="4"/>
      <c r="I26" s="4"/>
      <c r="J26" s="4"/>
      <c r="K26" s="4"/>
      <c r="L26" s="4"/>
      <c r="M26" s="4"/>
      <c r="N26" s="4"/>
      <c r="O26" s="4"/>
      <c r="P26" s="4"/>
      <c r="Q26" s="4"/>
      <c r="R26" s="4"/>
      <c r="S26" s="4"/>
      <c r="T26" s="4"/>
    </row>
    <row r="27" spans="1:20" x14ac:dyDescent="0.3">
      <c r="A27" s="4"/>
      <c r="B27" s="4"/>
      <c r="C27" s="4"/>
      <c r="D27" s="4"/>
      <c r="E27" s="4"/>
      <c r="F27" s="4"/>
      <c r="G27" s="4"/>
      <c r="H27" s="4"/>
      <c r="I27" s="4"/>
      <c r="J27" s="4"/>
      <c r="K27" s="4"/>
      <c r="L27" s="4"/>
      <c r="M27" s="4"/>
      <c r="N27" s="4"/>
      <c r="O27" s="4"/>
      <c r="P27" s="4"/>
      <c r="Q27" s="4"/>
      <c r="R27" s="4"/>
      <c r="S27" s="4"/>
      <c r="T27" s="4"/>
    </row>
    <row r="28" spans="1:20" x14ac:dyDescent="0.3">
      <c r="A28" s="4"/>
      <c r="B28" s="4"/>
      <c r="C28" s="4"/>
      <c r="D28" s="4"/>
      <c r="E28" s="4"/>
      <c r="F28" s="4"/>
      <c r="G28" s="4"/>
      <c r="H28" s="4"/>
      <c r="I28" s="4"/>
      <c r="J28" s="4"/>
      <c r="K28" s="4"/>
      <c r="L28" s="4"/>
      <c r="M28" s="4"/>
      <c r="N28" s="4"/>
      <c r="O28" s="4"/>
      <c r="P28" s="4"/>
      <c r="Q28" s="4"/>
      <c r="R28" s="4"/>
      <c r="S28" s="4"/>
      <c r="T28" s="4"/>
    </row>
    <row r="29" spans="1:20" x14ac:dyDescent="0.3">
      <c r="A29" s="4"/>
      <c r="B29" s="4"/>
      <c r="C29" s="4"/>
      <c r="D29" s="4"/>
      <c r="E29" s="4"/>
      <c r="F29" s="4"/>
      <c r="G29" s="4"/>
      <c r="H29" s="4"/>
      <c r="I29" s="4"/>
      <c r="J29" s="4"/>
      <c r="K29" s="4"/>
      <c r="L29" s="4"/>
      <c r="M29" s="4"/>
      <c r="N29" s="4"/>
      <c r="O29" s="4"/>
      <c r="P29" s="4"/>
      <c r="Q29" s="4"/>
      <c r="R29" s="4"/>
      <c r="S29" s="4"/>
      <c r="T29"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1459-EE7E-4913-8F51-2E42E67784C0}">
  <dimension ref="A1:Z29"/>
  <sheetViews>
    <sheetView zoomScale="90" workbookViewId="0">
      <selection activeCell="U21" sqref="U21"/>
    </sheetView>
  </sheetViews>
  <sheetFormatPr defaultRowHeight="14.4" x14ac:dyDescent="0.3"/>
  <sheetData>
    <row r="1" spans="1:26" x14ac:dyDescent="0.3">
      <c r="A1" s="4"/>
      <c r="B1" s="4"/>
      <c r="C1" s="4"/>
      <c r="D1" s="4"/>
      <c r="E1" s="4"/>
      <c r="F1" s="4"/>
      <c r="G1" s="4"/>
      <c r="H1" s="4"/>
      <c r="I1" s="4"/>
      <c r="J1" s="4"/>
      <c r="K1" s="4"/>
      <c r="L1" s="4"/>
      <c r="M1" s="4"/>
      <c r="N1" s="4"/>
      <c r="O1" s="4"/>
      <c r="P1" s="4"/>
      <c r="Q1" s="4"/>
      <c r="R1" s="4"/>
      <c r="S1" s="4"/>
      <c r="T1" s="6"/>
      <c r="U1" s="6"/>
      <c r="V1" s="6"/>
      <c r="W1" s="6"/>
      <c r="X1" s="6"/>
      <c r="Y1" s="6"/>
      <c r="Z1" s="6"/>
    </row>
    <row r="2" spans="1:26" x14ac:dyDescent="0.3">
      <c r="A2" s="4"/>
      <c r="B2" s="4"/>
      <c r="C2" s="4"/>
      <c r="D2" s="4"/>
      <c r="E2" s="4"/>
      <c r="F2" s="4"/>
      <c r="G2" s="4"/>
      <c r="H2" s="4"/>
      <c r="I2" s="4"/>
      <c r="J2" s="4"/>
      <c r="K2" s="4"/>
      <c r="L2" s="4"/>
      <c r="M2" s="4"/>
      <c r="N2" s="4"/>
      <c r="O2" s="4"/>
      <c r="P2" s="4"/>
      <c r="Q2" s="4"/>
      <c r="R2" s="4"/>
      <c r="S2" s="4"/>
      <c r="T2" s="6"/>
      <c r="U2" s="6"/>
      <c r="V2" s="6"/>
      <c r="W2" s="6"/>
      <c r="X2" s="6"/>
      <c r="Y2" s="6"/>
      <c r="Z2" s="6"/>
    </row>
    <row r="3" spans="1:26" x14ac:dyDescent="0.3">
      <c r="A3" s="4"/>
      <c r="B3" s="4"/>
      <c r="C3" s="4"/>
      <c r="D3" s="4"/>
      <c r="E3" s="4"/>
      <c r="F3" s="4"/>
      <c r="G3" s="4"/>
      <c r="H3" s="4"/>
      <c r="I3" s="4"/>
      <c r="J3" s="4"/>
      <c r="K3" s="4"/>
      <c r="L3" s="4"/>
      <c r="M3" s="4"/>
      <c r="N3" s="4"/>
      <c r="O3" s="4"/>
      <c r="P3" s="4"/>
      <c r="Q3" s="4"/>
      <c r="R3" s="4"/>
      <c r="S3" s="4"/>
      <c r="T3" s="6"/>
      <c r="U3" s="6"/>
      <c r="V3" s="6"/>
      <c r="W3" s="6"/>
      <c r="X3" s="6"/>
      <c r="Y3" s="6"/>
      <c r="Z3" s="6"/>
    </row>
    <row r="4" spans="1:26" x14ac:dyDescent="0.3">
      <c r="A4" s="4"/>
      <c r="B4" s="4"/>
      <c r="C4" s="4"/>
      <c r="D4" s="4"/>
      <c r="E4" s="4"/>
      <c r="F4" s="4"/>
      <c r="G4" s="4"/>
      <c r="H4" s="4"/>
      <c r="I4" s="4"/>
      <c r="J4" s="4"/>
      <c r="K4" s="4"/>
      <c r="L4" s="4"/>
      <c r="M4" s="4"/>
      <c r="N4" s="4"/>
      <c r="O4" s="4"/>
      <c r="P4" s="4"/>
      <c r="Q4" s="4"/>
      <c r="R4" s="4"/>
      <c r="S4" s="4"/>
      <c r="T4" s="6"/>
      <c r="U4" s="6"/>
      <c r="V4" s="6"/>
      <c r="W4" s="6"/>
      <c r="X4" s="6"/>
      <c r="Y4" s="6"/>
      <c r="Z4" s="6"/>
    </row>
    <row r="5" spans="1:26" x14ac:dyDescent="0.3">
      <c r="A5" s="4"/>
      <c r="B5" s="4"/>
      <c r="C5" s="4"/>
      <c r="D5" s="4"/>
      <c r="E5" s="4"/>
      <c r="F5" s="4"/>
      <c r="G5" s="4"/>
      <c r="H5" s="4"/>
      <c r="I5" s="4"/>
      <c r="J5" s="4"/>
      <c r="K5" s="4"/>
      <c r="L5" s="4"/>
      <c r="M5" s="4"/>
      <c r="N5" s="4"/>
      <c r="O5" s="4"/>
      <c r="P5" s="4"/>
      <c r="Q5" s="4"/>
      <c r="R5" s="4"/>
      <c r="S5" s="4"/>
      <c r="T5" s="6"/>
      <c r="U5" s="6"/>
      <c r="V5" s="6"/>
      <c r="W5" s="6"/>
      <c r="X5" s="6"/>
      <c r="Y5" s="6"/>
      <c r="Z5" s="6"/>
    </row>
    <row r="6" spans="1:26" x14ac:dyDescent="0.3">
      <c r="A6" s="4"/>
      <c r="B6" s="4"/>
      <c r="C6" s="4"/>
      <c r="D6" s="4"/>
      <c r="E6" s="4"/>
      <c r="F6" s="4"/>
      <c r="G6" s="4"/>
      <c r="H6" s="4"/>
      <c r="I6" s="4"/>
      <c r="J6" s="4"/>
      <c r="K6" s="4"/>
      <c r="L6" s="4"/>
      <c r="M6" s="4"/>
      <c r="N6" s="4"/>
      <c r="O6" s="4"/>
      <c r="P6" s="4"/>
      <c r="Q6" s="4"/>
      <c r="R6" s="4"/>
      <c r="S6" s="4"/>
      <c r="T6" s="6"/>
      <c r="U6" s="6"/>
      <c r="V6" s="6"/>
      <c r="W6" s="6"/>
      <c r="X6" s="6"/>
      <c r="Y6" s="6"/>
      <c r="Z6" s="6"/>
    </row>
    <row r="7" spans="1:26" x14ac:dyDescent="0.3">
      <c r="A7" s="4"/>
      <c r="B7" s="4"/>
      <c r="C7" s="4"/>
      <c r="D7" s="4"/>
      <c r="E7" s="4"/>
      <c r="F7" s="4"/>
      <c r="G7" s="4"/>
      <c r="H7" s="4"/>
      <c r="I7" s="4"/>
      <c r="J7" s="4"/>
      <c r="K7" s="4"/>
      <c r="L7" s="4"/>
      <c r="M7" s="4"/>
      <c r="N7" s="4"/>
      <c r="O7" s="4"/>
      <c r="P7" s="4"/>
      <c r="Q7" s="4"/>
      <c r="R7" s="4"/>
      <c r="S7" s="4"/>
      <c r="T7" s="6"/>
      <c r="U7" s="6"/>
      <c r="V7" s="6"/>
      <c r="W7" s="6"/>
      <c r="X7" s="6"/>
      <c r="Y7" s="6"/>
      <c r="Z7" s="6"/>
    </row>
    <row r="8" spans="1:26" x14ac:dyDescent="0.3">
      <c r="A8" s="4"/>
      <c r="B8" s="4"/>
      <c r="C8" s="4"/>
      <c r="D8" s="4"/>
      <c r="E8" s="4"/>
      <c r="F8" s="4"/>
      <c r="G8" s="4"/>
      <c r="H8" s="4"/>
      <c r="I8" s="4"/>
      <c r="J8" s="4"/>
      <c r="K8" s="4"/>
      <c r="L8" s="4"/>
      <c r="M8" s="4"/>
      <c r="N8" s="4"/>
      <c r="O8" s="4"/>
      <c r="P8" s="4"/>
      <c r="Q8" s="4"/>
      <c r="R8" s="4"/>
      <c r="S8" s="4"/>
      <c r="T8" s="6"/>
      <c r="U8" s="6"/>
      <c r="V8" s="6"/>
      <c r="W8" s="6"/>
      <c r="X8" s="6"/>
      <c r="Y8" s="6"/>
      <c r="Z8" s="6"/>
    </row>
    <row r="9" spans="1:26" x14ac:dyDescent="0.3">
      <c r="A9" s="4"/>
      <c r="B9" s="4"/>
      <c r="C9" s="4"/>
      <c r="D9" s="4"/>
      <c r="E9" s="4"/>
      <c r="F9" s="4"/>
      <c r="G9" s="4"/>
      <c r="H9" s="4"/>
      <c r="I9" s="4"/>
      <c r="J9" s="4"/>
      <c r="K9" s="4"/>
      <c r="L9" s="4"/>
      <c r="M9" s="4"/>
      <c r="N9" s="4"/>
      <c r="O9" s="4"/>
      <c r="P9" s="4"/>
      <c r="Q9" s="4"/>
      <c r="R9" s="4"/>
      <c r="S9" s="4"/>
      <c r="T9" s="6"/>
      <c r="U9" s="6"/>
      <c r="V9" s="6"/>
      <c r="W9" s="6"/>
      <c r="X9" s="6"/>
      <c r="Y9" s="6"/>
      <c r="Z9" s="6"/>
    </row>
    <row r="10" spans="1:26" x14ac:dyDescent="0.3">
      <c r="A10" s="4"/>
      <c r="B10" s="4"/>
      <c r="C10" s="4"/>
      <c r="D10" s="4"/>
      <c r="E10" s="4"/>
      <c r="F10" s="4"/>
      <c r="G10" s="4"/>
      <c r="H10" s="4"/>
      <c r="I10" s="4"/>
      <c r="J10" s="4"/>
      <c r="K10" s="4"/>
      <c r="L10" s="4"/>
      <c r="M10" s="4"/>
      <c r="N10" s="4"/>
      <c r="O10" s="4"/>
      <c r="P10" s="4"/>
      <c r="Q10" s="4"/>
      <c r="R10" s="4"/>
      <c r="S10" s="4"/>
      <c r="T10" s="6"/>
      <c r="U10" s="6"/>
      <c r="V10" s="6"/>
      <c r="W10" s="6"/>
      <c r="X10" s="6"/>
      <c r="Y10" s="6"/>
      <c r="Z10" s="6"/>
    </row>
    <row r="11" spans="1:26" x14ac:dyDescent="0.3">
      <c r="A11" s="4"/>
      <c r="B11" s="4"/>
      <c r="C11" s="4"/>
      <c r="D11" s="4"/>
      <c r="E11" s="4"/>
      <c r="F11" s="4"/>
      <c r="G11" s="4"/>
      <c r="H11" s="4"/>
      <c r="I11" s="4"/>
      <c r="J11" s="4"/>
      <c r="K11" s="4"/>
      <c r="L11" s="4"/>
      <c r="M11" s="4"/>
      <c r="N11" s="4"/>
      <c r="O11" s="4"/>
      <c r="P11" s="4"/>
      <c r="Q11" s="4"/>
      <c r="R11" s="4"/>
      <c r="S11" s="4"/>
      <c r="T11" s="6"/>
      <c r="U11" s="6"/>
      <c r="V11" s="6"/>
      <c r="W11" s="6"/>
      <c r="X11" s="6"/>
      <c r="Y11" s="6"/>
      <c r="Z11" s="6"/>
    </row>
    <row r="12" spans="1:26" x14ac:dyDescent="0.3">
      <c r="A12" s="4"/>
      <c r="B12" s="4"/>
      <c r="C12" s="4"/>
      <c r="D12" s="4"/>
      <c r="E12" s="4"/>
      <c r="F12" s="4"/>
      <c r="G12" s="4"/>
      <c r="H12" s="4"/>
      <c r="I12" s="4"/>
      <c r="J12" s="4"/>
      <c r="K12" s="4"/>
      <c r="L12" s="4"/>
      <c r="M12" s="4"/>
      <c r="N12" s="4"/>
      <c r="O12" s="4"/>
      <c r="P12" s="4"/>
      <c r="Q12" s="4"/>
      <c r="R12" s="4"/>
      <c r="S12" s="4"/>
      <c r="T12" s="6"/>
      <c r="U12" s="6"/>
      <c r="V12" s="6"/>
      <c r="W12" s="6"/>
      <c r="X12" s="6"/>
      <c r="Y12" s="6"/>
      <c r="Z12" s="6"/>
    </row>
    <row r="13" spans="1:26" x14ac:dyDescent="0.3">
      <c r="A13" s="4"/>
      <c r="B13" s="4"/>
      <c r="C13" s="4"/>
      <c r="D13" s="4"/>
      <c r="E13" s="4"/>
      <c r="F13" s="4"/>
      <c r="G13" s="4"/>
      <c r="H13" s="4"/>
      <c r="I13" s="4"/>
      <c r="J13" s="4"/>
      <c r="K13" s="4"/>
      <c r="L13" s="4"/>
      <c r="M13" s="4"/>
      <c r="N13" s="4"/>
      <c r="O13" s="4"/>
      <c r="P13" s="4"/>
      <c r="Q13" s="4"/>
      <c r="R13" s="4"/>
      <c r="S13" s="4"/>
      <c r="T13" s="6"/>
      <c r="U13" s="6"/>
      <c r="V13" s="6"/>
      <c r="W13" s="6"/>
      <c r="X13" s="6"/>
      <c r="Y13" s="6"/>
      <c r="Z13" s="6"/>
    </row>
    <row r="14" spans="1:26" x14ac:dyDescent="0.3">
      <c r="A14" s="4"/>
      <c r="B14" s="4"/>
      <c r="C14" s="4"/>
      <c r="D14" s="4"/>
      <c r="E14" s="4"/>
      <c r="F14" s="4"/>
      <c r="G14" s="4"/>
      <c r="H14" s="4"/>
      <c r="I14" s="4"/>
      <c r="J14" s="4"/>
      <c r="K14" s="4"/>
      <c r="L14" s="4"/>
      <c r="M14" s="4"/>
      <c r="N14" s="4"/>
      <c r="O14" s="4"/>
      <c r="P14" s="4"/>
      <c r="Q14" s="4"/>
      <c r="R14" s="4"/>
      <c r="S14" s="4"/>
      <c r="T14" s="6"/>
      <c r="U14" s="6"/>
      <c r="V14" s="6"/>
      <c r="W14" s="6"/>
      <c r="X14" s="6"/>
      <c r="Y14" s="6"/>
      <c r="Z14" s="6"/>
    </row>
    <row r="15" spans="1:26" x14ac:dyDescent="0.3">
      <c r="A15" s="4"/>
      <c r="B15" s="4"/>
      <c r="C15" s="4"/>
      <c r="D15" s="4"/>
      <c r="E15" s="4"/>
      <c r="F15" s="4"/>
      <c r="G15" s="4"/>
      <c r="H15" s="4"/>
      <c r="I15" s="4"/>
      <c r="J15" s="4"/>
      <c r="K15" s="4"/>
      <c r="L15" s="4"/>
      <c r="M15" s="4"/>
      <c r="N15" s="4"/>
      <c r="O15" s="4"/>
      <c r="P15" s="4"/>
      <c r="Q15" s="4"/>
      <c r="R15" s="4"/>
      <c r="S15" s="4"/>
      <c r="T15" s="6"/>
      <c r="U15" s="6"/>
      <c r="V15" s="6"/>
      <c r="W15" s="6"/>
      <c r="X15" s="6"/>
      <c r="Y15" s="6"/>
      <c r="Z15" s="6"/>
    </row>
    <row r="16" spans="1:26" x14ac:dyDescent="0.3">
      <c r="A16" s="4"/>
      <c r="B16" s="4"/>
      <c r="C16" s="4"/>
      <c r="D16" s="4"/>
      <c r="E16" s="4"/>
      <c r="F16" s="4"/>
      <c r="G16" s="4"/>
      <c r="H16" s="4"/>
      <c r="I16" s="4"/>
      <c r="J16" s="4"/>
      <c r="K16" s="4"/>
      <c r="L16" s="4"/>
      <c r="M16" s="4"/>
      <c r="N16" s="4"/>
      <c r="O16" s="4"/>
      <c r="P16" s="4"/>
      <c r="Q16" s="4"/>
      <c r="R16" s="4"/>
      <c r="S16" s="4"/>
      <c r="T16" s="6"/>
      <c r="U16" s="6"/>
      <c r="V16" s="6"/>
      <c r="W16" s="6"/>
      <c r="X16" s="6"/>
      <c r="Y16" s="6"/>
      <c r="Z16" s="6"/>
    </row>
    <row r="17" spans="1:26" x14ac:dyDescent="0.3">
      <c r="A17" s="4"/>
      <c r="B17" s="4"/>
      <c r="C17" s="4"/>
      <c r="D17" s="4"/>
      <c r="E17" s="4"/>
      <c r="F17" s="4"/>
      <c r="G17" s="4"/>
      <c r="H17" s="4"/>
      <c r="I17" s="4"/>
      <c r="J17" s="4"/>
      <c r="K17" s="4"/>
      <c r="L17" s="4"/>
      <c r="M17" s="4"/>
      <c r="N17" s="4"/>
      <c r="O17" s="4"/>
      <c r="P17" s="4"/>
      <c r="Q17" s="4"/>
      <c r="R17" s="4"/>
      <c r="S17" s="4"/>
      <c r="T17" s="6"/>
      <c r="U17" s="6"/>
      <c r="V17" s="6"/>
      <c r="W17" s="6"/>
      <c r="X17" s="6"/>
      <c r="Y17" s="6"/>
      <c r="Z17" s="6"/>
    </row>
    <row r="18" spans="1:26" x14ac:dyDescent="0.3">
      <c r="A18" s="4"/>
      <c r="B18" s="4"/>
      <c r="C18" s="4"/>
      <c r="D18" s="4"/>
      <c r="E18" s="4"/>
      <c r="F18" s="4"/>
      <c r="G18" s="4"/>
      <c r="H18" s="4"/>
      <c r="I18" s="4"/>
      <c r="J18" s="4"/>
      <c r="K18" s="4"/>
      <c r="L18" s="4"/>
      <c r="M18" s="4"/>
      <c r="N18" s="4"/>
      <c r="O18" s="4"/>
      <c r="P18" s="4"/>
      <c r="Q18" s="4"/>
      <c r="R18" s="4"/>
      <c r="S18" s="4"/>
      <c r="T18" s="6"/>
      <c r="U18" s="6"/>
      <c r="V18" s="6"/>
      <c r="W18" s="6"/>
      <c r="X18" s="6"/>
      <c r="Y18" s="6"/>
      <c r="Z18" s="6"/>
    </row>
    <row r="19" spans="1:26" x14ac:dyDescent="0.3">
      <c r="A19" s="4"/>
      <c r="B19" s="4"/>
      <c r="C19" s="4"/>
      <c r="D19" s="4"/>
      <c r="E19" s="4"/>
      <c r="F19" s="4"/>
      <c r="G19" s="4"/>
      <c r="H19" s="4"/>
      <c r="I19" s="4"/>
      <c r="J19" s="4"/>
      <c r="K19" s="4"/>
      <c r="L19" s="4"/>
      <c r="M19" s="4"/>
      <c r="N19" s="4"/>
      <c r="O19" s="4"/>
      <c r="P19" s="4"/>
      <c r="Q19" s="4"/>
      <c r="R19" s="4"/>
      <c r="S19" s="4"/>
      <c r="T19" s="6"/>
      <c r="U19" s="6"/>
      <c r="V19" s="6"/>
      <c r="W19" s="6"/>
      <c r="X19" s="6"/>
      <c r="Y19" s="6"/>
      <c r="Z19" s="6"/>
    </row>
    <row r="20" spans="1:26" x14ac:dyDescent="0.3">
      <c r="A20" s="4"/>
      <c r="B20" s="4"/>
      <c r="C20" s="4"/>
      <c r="D20" s="4"/>
      <c r="E20" s="4"/>
      <c r="F20" s="4"/>
      <c r="G20" s="4"/>
      <c r="H20" s="4"/>
      <c r="I20" s="4"/>
      <c r="J20" s="4"/>
      <c r="K20" s="4"/>
      <c r="L20" s="4"/>
      <c r="M20" s="4"/>
      <c r="N20" s="4"/>
      <c r="O20" s="4"/>
      <c r="P20" s="4"/>
      <c r="Q20" s="4"/>
      <c r="R20" s="4"/>
      <c r="S20" s="4"/>
      <c r="T20" s="6"/>
      <c r="U20" s="6"/>
      <c r="V20" s="6"/>
      <c r="W20" s="6"/>
      <c r="X20" s="6"/>
      <c r="Y20" s="6"/>
      <c r="Z20" s="6"/>
    </row>
    <row r="21" spans="1:26" x14ac:dyDescent="0.3">
      <c r="A21" s="4"/>
      <c r="B21" s="4"/>
      <c r="C21" s="4"/>
      <c r="D21" s="4"/>
      <c r="E21" s="4"/>
      <c r="F21" s="4"/>
      <c r="G21" s="4"/>
      <c r="H21" s="4"/>
      <c r="I21" s="4"/>
      <c r="J21" s="4"/>
      <c r="K21" s="4"/>
      <c r="L21" s="4"/>
      <c r="M21" s="4"/>
      <c r="N21" s="4"/>
      <c r="O21" s="4"/>
      <c r="P21" s="4"/>
      <c r="Q21" s="4"/>
      <c r="R21" s="4"/>
      <c r="S21" s="4"/>
      <c r="T21" s="6"/>
      <c r="U21" s="6"/>
      <c r="V21" s="6"/>
      <c r="W21" s="6"/>
      <c r="X21" s="6"/>
      <c r="Y21" s="6"/>
      <c r="Z21" s="6"/>
    </row>
    <row r="22" spans="1:26" x14ac:dyDescent="0.3">
      <c r="A22" s="4"/>
      <c r="B22" s="4"/>
      <c r="C22" s="4"/>
      <c r="D22" s="4"/>
      <c r="E22" s="4"/>
      <c r="F22" s="4"/>
      <c r="G22" s="4"/>
      <c r="H22" s="4"/>
      <c r="I22" s="4"/>
      <c r="J22" s="4"/>
      <c r="K22" s="4"/>
      <c r="L22" s="4"/>
      <c r="M22" s="4"/>
      <c r="N22" s="4"/>
      <c r="O22" s="4"/>
      <c r="P22" s="4"/>
      <c r="Q22" s="4"/>
      <c r="R22" s="4"/>
      <c r="S22" s="4"/>
      <c r="T22" s="6"/>
      <c r="U22" s="6"/>
      <c r="V22" s="6"/>
      <c r="W22" s="6"/>
      <c r="X22" s="6"/>
      <c r="Y22" s="6"/>
      <c r="Z22" s="6"/>
    </row>
    <row r="23" spans="1:26" x14ac:dyDescent="0.3">
      <c r="A23" s="4"/>
      <c r="B23" s="4"/>
      <c r="C23" s="4"/>
      <c r="D23" s="4"/>
      <c r="E23" s="4"/>
      <c r="F23" s="4"/>
      <c r="G23" s="4"/>
      <c r="H23" s="4"/>
      <c r="I23" s="4"/>
      <c r="J23" s="4"/>
      <c r="K23" s="4"/>
      <c r="L23" s="4"/>
      <c r="M23" s="4"/>
      <c r="N23" s="4"/>
      <c r="O23" s="4"/>
      <c r="P23" s="4"/>
      <c r="Q23" s="4"/>
      <c r="R23" s="4"/>
      <c r="S23" s="4"/>
      <c r="T23" s="6"/>
      <c r="U23" s="6"/>
      <c r="V23" s="6"/>
      <c r="W23" s="6"/>
      <c r="X23" s="6"/>
      <c r="Y23" s="6"/>
      <c r="Z23" s="6"/>
    </row>
    <row r="24" spans="1:26" x14ac:dyDescent="0.3">
      <c r="A24" s="4"/>
      <c r="B24" s="4"/>
      <c r="C24" s="4"/>
      <c r="D24" s="4"/>
      <c r="E24" s="4"/>
      <c r="F24" s="4"/>
      <c r="G24" s="4"/>
      <c r="H24" s="4"/>
      <c r="I24" s="4"/>
      <c r="J24" s="4"/>
      <c r="K24" s="4"/>
      <c r="L24" s="4"/>
      <c r="M24" s="4"/>
      <c r="N24" s="4"/>
      <c r="O24" s="4"/>
      <c r="P24" s="4"/>
      <c r="Q24" s="4"/>
      <c r="R24" s="4"/>
      <c r="S24" s="4"/>
      <c r="T24" s="6"/>
      <c r="U24" s="6"/>
      <c r="V24" s="6"/>
      <c r="W24" s="6"/>
      <c r="X24" s="6"/>
      <c r="Y24" s="6"/>
      <c r="Z24" s="6"/>
    </row>
    <row r="25" spans="1:26" x14ac:dyDescent="0.3">
      <c r="A25" s="4"/>
      <c r="B25" s="4"/>
      <c r="C25" s="4"/>
      <c r="D25" s="4"/>
      <c r="E25" s="4"/>
      <c r="F25" s="4"/>
      <c r="G25" s="4"/>
      <c r="H25" s="4"/>
      <c r="I25" s="4"/>
      <c r="J25" s="4"/>
      <c r="K25" s="4"/>
      <c r="L25" s="4"/>
      <c r="M25" s="4"/>
      <c r="N25" s="4"/>
      <c r="O25" s="4"/>
      <c r="P25" s="4"/>
      <c r="Q25" s="4"/>
      <c r="R25" s="4"/>
      <c r="S25" s="4"/>
      <c r="T25" s="6"/>
      <c r="U25" s="6"/>
      <c r="V25" s="6"/>
      <c r="W25" s="6"/>
      <c r="X25" s="6"/>
      <c r="Y25" s="6"/>
      <c r="Z25" s="6"/>
    </row>
    <row r="26" spans="1:26" x14ac:dyDescent="0.3">
      <c r="A26" s="4"/>
      <c r="B26" s="4"/>
      <c r="C26" s="4"/>
      <c r="D26" s="4"/>
      <c r="E26" s="4"/>
      <c r="F26" s="4"/>
      <c r="G26" s="4"/>
      <c r="H26" s="4"/>
      <c r="I26" s="4"/>
      <c r="J26" s="4"/>
      <c r="K26" s="4"/>
      <c r="L26" s="4"/>
      <c r="M26" s="4"/>
      <c r="N26" s="4"/>
      <c r="O26" s="4"/>
      <c r="P26" s="4"/>
      <c r="Q26" s="4"/>
      <c r="R26" s="4"/>
      <c r="S26" s="4"/>
      <c r="T26" s="6"/>
      <c r="U26" s="6"/>
      <c r="V26" s="6"/>
      <c r="W26" s="6"/>
      <c r="X26" s="6"/>
      <c r="Y26" s="6"/>
      <c r="Z26" s="6"/>
    </row>
    <row r="27" spans="1:26" x14ac:dyDescent="0.3">
      <c r="A27" s="4"/>
      <c r="B27" s="4"/>
      <c r="C27" s="4"/>
      <c r="D27" s="4"/>
      <c r="E27" s="4"/>
      <c r="F27" s="4"/>
      <c r="G27" s="4"/>
      <c r="H27" s="4"/>
      <c r="I27" s="4"/>
      <c r="J27" s="4"/>
      <c r="K27" s="4"/>
      <c r="L27" s="4"/>
      <c r="M27" s="4"/>
      <c r="N27" s="4"/>
      <c r="O27" s="4"/>
      <c r="P27" s="4"/>
      <c r="Q27" s="4"/>
      <c r="R27" s="4"/>
      <c r="S27" s="4"/>
      <c r="T27" s="6"/>
      <c r="U27" s="6"/>
      <c r="V27" s="6"/>
      <c r="W27" s="6"/>
      <c r="X27" s="6"/>
      <c r="Y27" s="6"/>
      <c r="Z27" s="6"/>
    </row>
    <row r="28" spans="1:26" x14ac:dyDescent="0.3">
      <c r="A28" s="4"/>
      <c r="B28" s="4"/>
      <c r="C28" s="4"/>
      <c r="D28" s="4"/>
      <c r="E28" s="4"/>
      <c r="F28" s="4"/>
      <c r="G28" s="4"/>
      <c r="H28" s="4"/>
      <c r="I28" s="4"/>
      <c r="J28" s="4"/>
      <c r="K28" s="4"/>
      <c r="L28" s="4"/>
      <c r="M28" s="4"/>
      <c r="N28" s="4"/>
      <c r="O28" s="4"/>
      <c r="P28" s="4"/>
      <c r="Q28" s="4"/>
      <c r="R28" s="4"/>
      <c r="S28" s="4"/>
      <c r="T28" s="6"/>
      <c r="U28" s="6"/>
      <c r="V28" s="6"/>
      <c r="W28" s="6"/>
      <c r="X28" s="6"/>
      <c r="Y28" s="6"/>
      <c r="Z28" s="6"/>
    </row>
    <row r="29" spans="1:26" x14ac:dyDescent="0.3">
      <c r="A29" s="4"/>
      <c r="B29" s="4"/>
      <c r="C29" s="4"/>
      <c r="D29" s="4"/>
      <c r="E29" s="4"/>
      <c r="F29" s="4"/>
      <c r="G29" s="4"/>
      <c r="H29" s="4"/>
      <c r="I29" s="4"/>
      <c r="J29" s="4"/>
      <c r="K29" s="4"/>
      <c r="L29" s="4"/>
      <c r="M29" s="4"/>
      <c r="N29" s="4"/>
      <c r="O29" s="4"/>
      <c r="P29" s="4"/>
      <c r="Q29" s="4"/>
      <c r="R29" s="4"/>
      <c r="S29" s="4"/>
      <c r="T29" s="6"/>
      <c r="U29" s="6"/>
      <c r="V29" s="6"/>
      <c r="W29" s="6"/>
      <c r="X29" s="6"/>
      <c r="Y29" s="6"/>
      <c r="Z2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0C45-21D7-43DB-85D5-69432C985B06}">
  <dimension ref="A1:T29"/>
  <sheetViews>
    <sheetView zoomScale="90" workbookViewId="0"/>
  </sheetViews>
  <sheetFormatPr defaultRowHeight="14.4" x14ac:dyDescent="0.3"/>
  <sheetData>
    <row r="1" spans="1:20" x14ac:dyDescent="0.3">
      <c r="A1" s="4"/>
      <c r="B1" s="4"/>
      <c r="C1" s="4"/>
      <c r="D1" s="4"/>
      <c r="E1" s="4"/>
      <c r="F1" s="4"/>
      <c r="G1" s="4"/>
      <c r="H1" s="4"/>
      <c r="I1" s="4"/>
      <c r="J1" s="4"/>
      <c r="K1" s="4"/>
      <c r="L1" s="4"/>
      <c r="M1" s="4"/>
      <c r="N1" s="4"/>
      <c r="O1" s="4"/>
      <c r="P1" s="4"/>
      <c r="Q1" s="4"/>
      <c r="R1" s="4"/>
      <c r="S1" s="4"/>
      <c r="T1" s="4"/>
    </row>
    <row r="2" spans="1:20" x14ac:dyDescent="0.3">
      <c r="A2" s="4"/>
      <c r="B2" s="4"/>
      <c r="C2" s="4"/>
      <c r="D2" s="4"/>
      <c r="E2" s="4"/>
      <c r="F2" s="4"/>
      <c r="G2" s="4"/>
      <c r="H2" s="4"/>
      <c r="I2" s="4"/>
      <c r="J2" s="4"/>
      <c r="K2" s="4"/>
      <c r="L2" s="4"/>
      <c r="M2" s="4"/>
      <c r="N2" s="4"/>
      <c r="O2" s="4"/>
      <c r="P2" s="4"/>
      <c r="Q2" s="4"/>
      <c r="R2" s="4"/>
      <c r="S2" s="4"/>
      <c r="T2" s="4"/>
    </row>
    <row r="3" spans="1:20" x14ac:dyDescent="0.3">
      <c r="A3" s="4"/>
      <c r="B3" s="4"/>
      <c r="C3" s="4"/>
      <c r="D3" s="4"/>
      <c r="E3" s="4"/>
      <c r="F3" s="4"/>
      <c r="G3" s="4"/>
      <c r="H3" s="4"/>
      <c r="I3" s="4"/>
      <c r="J3" s="4"/>
      <c r="K3" s="4"/>
      <c r="L3" s="4"/>
      <c r="M3" s="4"/>
      <c r="N3" s="4"/>
      <c r="O3" s="4"/>
      <c r="P3" s="4"/>
      <c r="Q3" s="4"/>
      <c r="R3" s="4"/>
      <c r="S3" s="4"/>
      <c r="T3" s="4"/>
    </row>
    <row r="4" spans="1:20" x14ac:dyDescent="0.3">
      <c r="A4" s="4"/>
      <c r="B4" s="4"/>
      <c r="C4" s="4"/>
      <c r="D4" s="4"/>
      <c r="E4" s="4"/>
      <c r="F4" s="4"/>
      <c r="G4" s="4"/>
      <c r="H4" s="4"/>
      <c r="I4" s="4"/>
      <c r="J4" s="4"/>
      <c r="K4" s="4"/>
      <c r="L4" s="4"/>
      <c r="M4" s="4"/>
      <c r="N4" s="4"/>
      <c r="O4" s="4"/>
      <c r="P4" s="4"/>
      <c r="Q4" s="4"/>
      <c r="R4" s="4"/>
      <c r="S4" s="4"/>
      <c r="T4" s="4"/>
    </row>
    <row r="5" spans="1:20" x14ac:dyDescent="0.3">
      <c r="A5" s="4"/>
      <c r="B5" s="4"/>
      <c r="C5" s="4"/>
      <c r="D5" s="4"/>
      <c r="E5" s="4"/>
      <c r="F5" s="4"/>
      <c r="G5" s="4"/>
      <c r="H5" s="4"/>
      <c r="I5" s="4"/>
      <c r="J5" s="4"/>
      <c r="K5" s="4"/>
      <c r="L5" s="4"/>
      <c r="M5" s="4"/>
      <c r="N5" s="4"/>
      <c r="O5" s="4"/>
      <c r="P5" s="4"/>
      <c r="Q5" s="4"/>
      <c r="R5" s="4"/>
      <c r="S5" s="4"/>
      <c r="T5" s="4"/>
    </row>
    <row r="6" spans="1:20" x14ac:dyDescent="0.3">
      <c r="A6" s="4"/>
      <c r="B6" s="4"/>
      <c r="C6" s="4"/>
      <c r="D6" s="4"/>
      <c r="E6" s="4"/>
      <c r="F6" s="4"/>
      <c r="G6" s="4"/>
      <c r="H6" s="4"/>
      <c r="I6" s="4"/>
      <c r="J6" s="4"/>
      <c r="K6" s="4"/>
      <c r="L6" s="4"/>
      <c r="M6" s="4"/>
      <c r="N6" s="4"/>
      <c r="O6" s="4"/>
      <c r="P6" s="4"/>
      <c r="Q6" s="4"/>
      <c r="R6" s="4"/>
      <c r="S6" s="4"/>
      <c r="T6" s="4"/>
    </row>
    <row r="7" spans="1:20" x14ac:dyDescent="0.3">
      <c r="A7" s="4"/>
      <c r="B7" s="4"/>
      <c r="C7" s="4"/>
      <c r="D7" s="4"/>
      <c r="E7" s="4"/>
      <c r="F7" s="4"/>
      <c r="G7" s="4"/>
      <c r="H7" s="4"/>
      <c r="I7" s="4"/>
      <c r="J7" s="4"/>
      <c r="K7" s="4"/>
      <c r="L7" s="4"/>
      <c r="M7" s="4"/>
      <c r="N7" s="4"/>
      <c r="O7" s="4"/>
      <c r="P7" s="4"/>
      <c r="Q7" s="4"/>
      <c r="R7" s="4"/>
      <c r="S7" s="4"/>
      <c r="T7" s="4"/>
    </row>
    <row r="8" spans="1:20" x14ac:dyDescent="0.3">
      <c r="A8" s="4"/>
      <c r="B8" s="4"/>
      <c r="C8" s="4"/>
      <c r="D8" s="4"/>
      <c r="E8" s="4"/>
      <c r="F8" s="4"/>
      <c r="G8" s="4"/>
      <c r="H8" s="4"/>
      <c r="I8" s="4"/>
      <c r="J8" s="4"/>
      <c r="K8" s="4"/>
      <c r="L8" s="4"/>
      <c r="M8" s="4"/>
      <c r="N8" s="4"/>
      <c r="O8" s="4"/>
      <c r="P8" s="4"/>
      <c r="Q8" s="4"/>
      <c r="R8" s="4"/>
      <c r="S8" s="4"/>
      <c r="T8" s="4"/>
    </row>
    <row r="9" spans="1:20" x14ac:dyDescent="0.3">
      <c r="A9" s="4"/>
      <c r="B9" s="4"/>
      <c r="C9" s="4"/>
      <c r="D9" s="4"/>
      <c r="E9" s="4"/>
      <c r="F9" s="4"/>
      <c r="G9" s="4"/>
      <c r="H9" s="4"/>
      <c r="I9" s="4"/>
      <c r="J9" s="4"/>
      <c r="K9" s="4"/>
      <c r="L9" s="4"/>
      <c r="M9" s="4"/>
      <c r="N9" s="4"/>
      <c r="O9" s="4"/>
      <c r="P9" s="4"/>
      <c r="Q9" s="4"/>
      <c r="R9" s="4"/>
      <c r="S9" s="4"/>
      <c r="T9" s="4"/>
    </row>
    <row r="10" spans="1:20" x14ac:dyDescent="0.3">
      <c r="A10" s="4"/>
      <c r="B10" s="4"/>
      <c r="C10" s="4"/>
      <c r="D10" s="4"/>
      <c r="E10" s="4"/>
      <c r="F10" s="4"/>
      <c r="G10" s="4"/>
      <c r="H10" s="4"/>
      <c r="I10" s="4"/>
      <c r="J10" s="4"/>
      <c r="K10" s="4"/>
      <c r="L10" s="4"/>
      <c r="M10" s="4"/>
      <c r="N10" s="4"/>
      <c r="O10" s="4"/>
      <c r="P10" s="4"/>
      <c r="Q10" s="4"/>
      <c r="R10" s="4"/>
      <c r="S10" s="4"/>
      <c r="T10" s="4"/>
    </row>
    <row r="11" spans="1:20" x14ac:dyDescent="0.3">
      <c r="A11" s="4"/>
      <c r="B11" s="4"/>
      <c r="C11" s="4"/>
      <c r="D11" s="4"/>
      <c r="E11" s="4"/>
      <c r="F11" s="4"/>
      <c r="G11" s="4"/>
      <c r="H11" s="4"/>
      <c r="I11" s="4"/>
      <c r="J11" s="4"/>
      <c r="K11" s="4"/>
      <c r="L11" s="4"/>
      <c r="M11" s="4"/>
      <c r="N11" s="4"/>
      <c r="O11" s="4"/>
      <c r="P11" s="4"/>
      <c r="Q11" s="4"/>
      <c r="R11" s="4"/>
      <c r="S11" s="4"/>
      <c r="T11" s="4"/>
    </row>
    <row r="12" spans="1:20" x14ac:dyDescent="0.3">
      <c r="A12" s="4"/>
      <c r="B12" s="4"/>
      <c r="C12" s="4"/>
      <c r="D12" s="4"/>
      <c r="E12" s="4"/>
      <c r="F12" s="4"/>
      <c r="G12" s="4"/>
      <c r="H12" s="4"/>
      <c r="I12" s="4"/>
      <c r="J12" s="4"/>
      <c r="K12" s="4"/>
      <c r="L12" s="4"/>
      <c r="M12" s="4"/>
      <c r="N12" s="4"/>
      <c r="O12" s="4"/>
      <c r="P12" s="4"/>
      <c r="Q12" s="4"/>
      <c r="R12" s="4"/>
      <c r="S12" s="4"/>
      <c r="T12" s="4"/>
    </row>
    <row r="13" spans="1:20" x14ac:dyDescent="0.3">
      <c r="A13" s="4"/>
      <c r="B13" s="4"/>
      <c r="C13" s="4"/>
      <c r="D13" s="4"/>
      <c r="E13" s="4"/>
      <c r="F13" s="4"/>
      <c r="G13" s="4"/>
      <c r="H13" s="4"/>
      <c r="I13" s="4"/>
      <c r="J13" s="4"/>
      <c r="K13" s="4"/>
      <c r="L13" s="4"/>
      <c r="M13" s="4"/>
      <c r="N13" s="4"/>
      <c r="O13" s="4"/>
      <c r="P13" s="4"/>
      <c r="Q13" s="4"/>
      <c r="R13" s="4"/>
      <c r="S13" s="4"/>
      <c r="T13" s="4"/>
    </row>
    <row r="14" spans="1:20" x14ac:dyDescent="0.3">
      <c r="A14" s="4"/>
      <c r="B14" s="4"/>
      <c r="C14" s="4"/>
      <c r="D14" s="4"/>
      <c r="E14" s="4"/>
      <c r="F14" s="4"/>
      <c r="G14" s="4"/>
      <c r="H14" s="4"/>
      <c r="I14" s="4"/>
      <c r="J14" s="4"/>
      <c r="K14" s="4"/>
      <c r="L14" s="4"/>
      <c r="M14" s="4"/>
      <c r="N14" s="4"/>
      <c r="O14" s="4"/>
      <c r="P14" s="4"/>
      <c r="Q14" s="4"/>
      <c r="R14" s="4"/>
      <c r="S14" s="4"/>
      <c r="T14" s="4"/>
    </row>
    <row r="15" spans="1:20" x14ac:dyDescent="0.3">
      <c r="A15" s="4"/>
      <c r="B15" s="4"/>
      <c r="C15" s="4"/>
      <c r="D15" s="4"/>
      <c r="E15" s="4"/>
      <c r="F15" s="4"/>
      <c r="G15" s="4"/>
      <c r="H15" s="4"/>
      <c r="I15" s="4"/>
      <c r="J15" s="4"/>
      <c r="K15" s="4"/>
      <c r="L15" s="4"/>
      <c r="M15" s="4"/>
      <c r="N15" s="4"/>
      <c r="O15" s="4"/>
      <c r="P15" s="4"/>
      <c r="Q15" s="4"/>
      <c r="R15" s="4"/>
      <c r="S15" s="4"/>
      <c r="T15" s="4"/>
    </row>
    <row r="16" spans="1:20" x14ac:dyDescent="0.3">
      <c r="A16" s="4"/>
      <c r="B16" s="4"/>
      <c r="C16" s="4"/>
      <c r="D16" s="4"/>
      <c r="E16" s="4"/>
      <c r="F16" s="4"/>
      <c r="G16" s="4"/>
      <c r="H16" s="4"/>
      <c r="I16" s="4"/>
      <c r="J16" s="4"/>
      <c r="K16" s="4"/>
      <c r="L16" s="4"/>
      <c r="M16" s="4"/>
      <c r="N16" s="4"/>
      <c r="O16" s="4"/>
      <c r="P16" s="4"/>
      <c r="Q16" s="4"/>
      <c r="R16" s="4"/>
      <c r="S16" s="4"/>
      <c r="T16" s="4"/>
    </row>
    <row r="17" spans="1:20" x14ac:dyDescent="0.3">
      <c r="A17" s="4"/>
      <c r="B17" s="4"/>
      <c r="C17" s="4"/>
      <c r="D17" s="4"/>
      <c r="E17" s="4"/>
      <c r="F17" s="4"/>
      <c r="G17" s="4"/>
      <c r="H17" s="4"/>
      <c r="I17" s="4"/>
      <c r="J17" s="4"/>
      <c r="K17" s="4"/>
      <c r="L17" s="4"/>
      <c r="M17" s="4"/>
      <c r="N17" s="4"/>
      <c r="O17" s="4"/>
      <c r="P17" s="4"/>
      <c r="Q17" s="4"/>
      <c r="R17" s="4"/>
      <c r="S17" s="4"/>
      <c r="T17" s="4"/>
    </row>
    <row r="18" spans="1:20" x14ac:dyDescent="0.3">
      <c r="A18" s="4"/>
      <c r="B18" s="4"/>
      <c r="C18" s="4"/>
      <c r="D18" s="4"/>
      <c r="E18" s="4"/>
      <c r="F18" s="4"/>
      <c r="G18" s="4"/>
      <c r="H18" s="4"/>
      <c r="I18" s="4"/>
      <c r="J18" s="4"/>
      <c r="K18" s="4"/>
      <c r="L18" s="4"/>
      <c r="M18" s="4"/>
      <c r="N18" s="4"/>
      <c r="O18" s="4"/>
      <c r="P18" s="4"/>
      <c r="Q18" s="4"/>
      <c r="R18" s="4"/>
      <c r="S18" s="4"/>
      <c r="T18" s="4"/>
    </row>
    <row r="19" spans="1:20" x14ac:dyDescent="0.3">
      <c r="A19" s="4"/>
      <c r="B19" s="4"/>
      <c r="C19" s="4"/>
      <c r="D19" s="4"/>
      <c r="E19" s="4"/>
      <c r="F19" s="4"/>
      <c r="G19" s="4"/>
      <c r="H19" s="4"/>
      <c r="I19" s="4"/>
      <c r="J19" s="4"/>
      <c r="K19" s="4"/>
      <c r="L19" s="4"/>
      <c r="M19" s="4"/>
      <c r="N19" s="4"/>
      <c r="O19" s="4"/>
      <c r="P19" s="4"/>
      <c r="Q19" s="4"/>
      <c r="R19" s="4"/>
      <c r="S19" s="4"/>
      <c r="T19" s="4"/>
    </row>
    <row r="20" spans="1:20" x14ac:dyDescent="0.3">
      <c r="A20" s="4"/>
      <c r="B20" s="4"/>
      <c r="C20" s="4"/>
      <c r="D20" s="4"/>
      <c r="E20" s="4"/>
      <c r="F20" s="4"/>
      <c r="G20" s="4"/>
      <c r="H20" s="4"/>
      <c r="I20" s="4"/>
      <c r="J20" s="4"/>
      <c r="K20" s="4"/>
      <c r="L20" s="4"/>
      <c r="M20" s="4"/>
      <c r="N20" s="4"/>
      <c r="O20" s="4"/>
      <c r="P20" s="4"/>
      <c r="Q20" s="4"/>
      <c r="R20" s="4"/>
      <c r="S20" s="4"/>
      <c r="T20" s="4"/>
    </row>
    <row r="21" spans="1:20" x14ac:dyDescent="0.3">
      <c r="A21" s="4"/>
      <c r="B21" s="4"/>
      <c r="C21" s="4"/>
      <c r="D21" s="4"/>
      <c r="E21" s="4"/>
      <c r="F21" s="4"/>
      <c r="G21" s="4"/>
      <c r="H21" s="4"/>
      <c r="I21" s="4"/>
      <c r="J21" s="4"/>
      <c r="K21" s="4"/>
      <c r="L21" s="4"/>
      <c r="M21" s="4"/>
      <c r="N21" s="4"/>
      <c r="O21" s="4"/>
      <c r="P21" s="4"/>
      <c r="Q21" s="4"/>
      <c r="R21" s="4"/>
      <c r="S21" s="4"/>
      <c r="T21" s="4"/>
    </row>
    <row r="22" spans="1:20" x14ac:dyDescent="0.3">
      <c r="A22" s="4"/>
      <c r="B22" s="4"/>
      <c r="C22" s="4"/>
      <c r="D22" s="4"/>
      <c r="E22" s="4"/>
      <c r="F22" s="4"/>
      <c r="G22" s="4"/>
      <c r="H22" s="4"/>
      <c r="I22" s="4"/>
      <c r="J22" s="4"/>
      <c r="K22" s="4"/>
      <c r="L22" s="4"/>
      <c r="M22" s="4"/>
      <c r="N22" s="4"/>
      <c r="O22" s="4"/>
      <c r="P22" s="4"/>
      <c r="Q22" s="4"/>
      <c r="R22" s="4"/>
      <c r="S22" s="4"/>
      <c r="T22" s="4"/>
    </row>
    <row r="23" spans="1:20" x14ac:dyDescent="0.3">
      <c r="A23" s="4"/>
      <c r="B23" s="4"/>
      <c r="C23" s="4"/>
      <c r="D23" s="4"/>
      <c r="E23" s="4"/>
      <c r="F23" s="4"/>
      <c r="G23" s="4"/>
      <c r="H23" s="4"/>
      <c r="I23" s="4"/>
      <c r="J23" s="4"/>
      <c r="K23" s="4"/>
      <c r="L23" s="4"/>
      <c r="M23" s="4"/>
      <c r="N23" s="4"/>
      <c r="O23" s="4"/>
      <c r="P23" s="4"/>
      <c r="Q23" s="4"/>
      <c r="R23" s="4"/>
      <c r="S23" s="4"/>
      <c r="T23" s="4"/>
    </row>
    <row r="24" spans="1:20" x14ac:dyDescent="0.3">
      <c r="A24" s="4"/>
      <c r="B24" s="4"/>
      <c r="C24" s="4"/>
      <c r="D24" s="4"/>
      <c r="E24" s="4"/>
      <c r="F24" s="4"/>
      <c r="G24" s="4"/>
      <c r="H24" s="4"/>
      <c r="I24" s="4"/>
      <c r="J24" s="4"/>
      <c r="K24" s="4"/>
      <c r="L24" s="4"/>
      <c r="M24" s="4"/>
      <c r="N24" s="4"/>
      <c r="O24" s="4"/>
      <c r="P24" s="4"/>
      <c r="Q24" s="4"/>
      <c r="R24" s="4"/>
      <c r="S24" s="4"/>
      <c r="T24" s="4"/>
    </row>
    <row r="25" spans="1:20" x14ac:dyDescent="0.3">
      <c r="A25" s="4"/>
      <c r="B25" s="4"/>
      <c r="C25" s="4"/>
      <c r="D25" s="4"/>
      <c r="E25" s="4"/>
      <c r="F25" s="4"/>
      <c r="G25" s="4"/>
      <c r="H25" s="4"/>
      <c r="I25" s="4"/>
      <c r="J25" s="4"/>
      <c r="K25" s="4"/>
      <c r="L25" s="4"/>
      <c r="M25" s="4"/>
      <c r="N25" s="4"/>
      <c r="O25" s="4"/>
      <c r="P25" s="4"/>
      <c r="Q25" s="4"/>
      <c r="R25" s="4"/>
      <c r="S25" s="4"/>
      <c r="T25" s="4"/>
    </row>
    <row r="26" spans="1:20" x14ac:dyDescent="0.3">
      <c r="A26" s="4"/>
      <c r="B26" s="4"/>
      <c r="C26" s="4"/>
      <c r="D26" s="4"/>
      <c r="E26" s="4"/>
      <c r="F26" s="4"/>
      <c r="G26" s="4"/>
      <c r="H26" s="4"/>
      <c r="I26" s="4"/>
      <c r="J26" s="4"/>
      <c r="K26" s="4"/>
      <c r="L26" s="4"/>
      <c r="M26" s="4"/>
      <c r="N26" s="4"/>
      <c r="O26" s="4"/>
      <c r="P26" s="4"/>
      <c r="Q26" s="4"/>
      <c r="R26" s="4"/>
      <c r="S26" s="4"/>
      <c r="T26" s="4"/>
    </row>
    <row r="27" spans="1:20" x14ac:dyDescent="0.3">
      <c r="A27" s="4"/>
      <c r="B27" s="4"/>
      <c r="C27" s="4"/>
      <c r="D27" s="4"/>
      <c r="E27" s="4"/>
      <c r="F27" s="4"/>
      <c r="G27" s="4"/>
      <c r="H27" s="4"/>
      <c r="I27" s="4"/>
      <c r="J27" s="4"/>
      <c r="K27" s="4"/>
      <c r="L27" s="4"/>
      <c r="M27" s="4"/>
      <c r="N27" s="4"/>
      <c r="O27" s="4"/>
      <c r="P27" s="4"/>
      <c r="Q27" s="4"/>
      <c r="R27" s="4"/>
      <c r="S27" s="4"/>
      <c r="T27" s="4"/>
    </row>
    <row r="28" spans="1:20" x14ac:dyDescent="0.3">
      <c r="A28" s="4"/>
      <c r="B28" s="4"/>
      <c r="C28" s="4"/>
      <c r="D28" s="4"/>
      <c r="E28" s="4"/>
      <c r="F28" s="4"/>
      <c r="G28" s="4"/>
      <c r="H28" s="4"/>
      <c r="I28" s="4"/>
      <c r="J28" s="4"/>
      <c r="K28" s="4"/>
      <c r="L28" s="4"/>
      <c r="M28" s="4"/>
      <c r="N28" s="4"/>
      <c r="O28" s="4"/>
      <c r="P28" s="4"/>
      <c r="Q28" s="4"/>
      <c r="R28" s="4"/>
      <c r="S28" s="4"/>
      <c r="T28" s="4"/>
    </row>
    <row r="29" spans="1:20" x14ac:dyDescent="0.3">
      <c r="A29" s="4"/>
      <c r="B29" s="4"/>
      <c r="C29" s="4"/>
      <c r="D29" s="4"/>
      <c r="E29" s="4"/>
      <c r="F29" s="4"/>
      <c r="G29" s="4"/>
      <c r="H29" s="4"/>
      <c r="I29" s="4"/>
      <c r="J29" s="4"/>
      <c r="K29" s="4"/>
      <c r="L29" s="4"/>
      <c r="M29" s="4"/>
      <c r="N29" s="4"/>
      <c r="O29" s="4"/>
      <c r="P29" s="4"/>
      <c r="Q29" s="4"/>
      <c r="R29" s="4"/>
      <c r="S29" s="4"/>
      <c r="T29"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C6E0E73-C80A-4211-A29F-0788F3393ED7}">
  <ds:schemaRefs/>
</ds:datastoreItem>
</file>

<file path=customXml/itemProps2.xml><?xml version="1.0" encoding="utf-8"?>
<ds:datastoreItem xmlns:ds="http://schemas.openxmlformats.org/officeDocument/2006/customXml" ds:itemID="{11E11C4E-46C1-4D94-A123-D1FA2F7F818F}">
  <ds:schemaRefs/>
</ds:datastoreItem>
</file>

<file path=customXml/itemProps3.xml><?xml version="1.0" encoding="utf-8"?>
<ds:datastoreItem xmlns:ds="http://schemas.openxmlformats.org/officeDocument/2006/customXml" ds:itemID="{87A6C30B-2DD7-43FE-85F8-1B64B7791E16}">
  <ds:schemaRefs/>
</ds:datastoreItem>
</file>

<file path=customXml/itemProps4.xml><?xml version="1.0" encoding="utf-8"?>
<ds:datastoreItem xmlns:ds="http://schemas.openxmlformats.org/officeDocument/2006/customXml" ds:itemID="{EB3CDB18-AE43-4545-92DA-2B3EBB8FABD1}">
  <ds:schemaRefs/>
</ds:datastoreItem>
</file>

<file path=customXml/itemProps5.xml><?xml version="1.0" encoding="utf-8"?>
<ds:datastoreItem xmlns:ds="http://schemas.openxmlformats.org/officeDocument/2006/customXml" ds:itemID="{D6BC3C03-C3D2-45A4-B2D3-9DD6F959CE4A}">
  <ds:schemaRefs/>
</ds:datastoreItem>
</file>

<file path=customXml/itemProps6.xml><?xml version="1.0" encoding="utf-8"?>
<ds:datastoreItem xmlns:ds="http://schemas.openxmlformats.org/officeDocument/2006/customXml" ds:itemID="{B5BA3492-2DAE-4B3B-9F50-82F3303CC0D3}">
  <ds:schemaRefs/>
</ds:datastoreItem>
</file>

<file path=customXml/itemProps7.xml><?xml version="1.0" encoding="utf-8"?>
<ds:datastoreItem xmlns:ds="http://schemas.openxmlformats.org/officeDocument/2006/customXml" ds:itemID="{63FCBD59-148A-4C63-A1DE-AE59D4AB26BF}">
  <ds:schemaRefs/>
</ds:datastoreItem>
</file>

<file path=customXml/itemProps8.xml><?xml version="1.0" encoding="utf-8"?>
<ds:datastoreItem xmlns:ds="http://schemas.openxmlformats.org/officeDocument/2006/customXml" ds:itemID="{FFB5FF4D-30B1-4444-8075-04471EBCDCE2}">
  <ds:schemaRefs>
    <ds:schemaRef ds:uri="http://schemas.microsoft.com/DataMashup"/>
  </ds:schemaRefs>
</ds:datastoreItem>
</file>

<file path=customXml/itemProps9.xml><?xml version="1.0" encoding="utf-8"?>
<ds:datastoreItem xmlns:ds="http://schemas.openxmlformats.org/officeDocument/2006/customXml" ds:itemID="{5E86CCE7-1B4A-42D9-9D9B-D847238A8985}">
  <ds:schemaRefs/>
</ds:datastoreItem>
</file>

<file path=customXml/itemProps10.xml><?xml version="1.0" encoding="utf-8"?>
<ds:datastoreItem xmlns:ds="http://schemas.openxmlformats.org/officeDocument/2006/customXml" ds:itemID="{9000B44D-97DE-4AC9-A43E-F17EF9E5F4E2}">
  <ds:schemaRefs/>
</ds:datastoreItem>
</file>

<file path=customXml/itemProps11.xml><?xml version="1.0" encoding="utf-8"?>
<ds:datastoreItem xmlns:ds="http://schemas.openxmlformats.org/officeDocument/2006/customXml" ds:itemID="{5923EA9A-3CEC-493B-AC0A-559E97DE4511}">
  <ds:schemaRefs/>
</ds:datastoreItem>
</file>

<file path=customXml/itemProps12.xml><?xml version="1.0" encoding="utf-8"?>
<ds:datastoreItem xmlns:ds="http://schemas.openxmlformats.org/officeDocument/2006/customXml" ds:itemID="{2BEE44B0-AA9D-4EEC-B4CF-AD58EAF2EEE9}">
  <ds:schemaRefs/>
</ds:datastoreItem>
</file>

<file path=customXml/itemProps13.xml><?xml version="1.0" encoding="utf-8"?>
<ds:datastoreItem xmlns:ds="http://schemas.openxmlformats.org/officeDocument/2006/customXml" ds:itemID="{AE8C47B1-00CC-4344-8C3B-ADE06D3FB763}">
  <ds:schemaRefs/>
</ds:datastoreItem>
</file>

<file path=customXml/itemProps14.xml><?xml version="1.0" encoding="utf-8"?>
<ds:datastoreItem xmlns:ds="http://schemas.openxmlformats.org/officeDocument/2006/customXml" ds:itemID="{F4F531D2-A64A-4B3E-AAC2-CEC0093A7F5B}">
  <ds:schemaRefs/>
</ds:datastoreItem>
</file>

<file path=customXml/itemProps15.xml><?xml version="1.0" encoding="utf-8"?>
<ds:datastoreItem xmlns:ds="http://schemas.openxmlformats.org/officeDocument/2006/customXml" ds:itemID="{85AF712D-3E69-4B50-9A67-6EAFDE09F684}">
  <ds:schemaRefs/>
</ds:datastoreItem>
</file>

<file path=customXml/itemProps16.xml><?xml version="1.0" encoding="utf-8"?>
<ds:datastoreItem xmlns:ds="http://schemas.openxmlformats.org/officeDocument/2006/customXml" ds:itemID="{01984506-352A-40CB-AB42-8B1574390B8F}">
  <ds:schemaRefs/>
</ds:datastoreItem>
</file>

<file path=customXml/itemProps17.xml><?xml version="1.0" encoding="utf-8"?>
<ds:datastoreItem xmlns:ds="http://schemas.openxmlformats.org/officeDocument/2006/customXml" ds:itemID="{8EC1BCF5-F7EC-4174-87A7-F3AD6BAA7E11}">
  <ds:schemaRefs/>
</ds:datastoreItem>
</file>

<file path=customXml/itemProps18.xml><?xml version="1.0" encoding="utf-8"?>
<ds:datastoreItem xmlns:ds="http://schemas.openxmlformats.org/officeDocument/2006/customXml" ds:itemID="{D7F71895-701F-4890-BB58-3349B843AC91}">
  <ds:schemaRefs/>
</ds:datastoreItem>
</file>

<file path=customXml/itemProps19.xml><?xml version="1.0" encoding="utf-8"?>
<ds:datastoreItem xmlns:ds="http://schemas.openxmlformats.org/officeDocument/2006/customXml" ds:itemID="{DBA1590C-6CD3-479A-A372-9809A4B97E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Sheet1</vt:lpstr>
      <vt:lpstr>Every Day Patient Count</vt:lpstr>
      <vt:lpstr>Patient Avg Wait-Time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AROORI SHIVA PRASAD</dc:creator>
  <cp:lastModifiedBy>AROORI SHIVA PRASAD</cp:lastModifiedBy>
  <dcterms:created xsi:type="dcterms:W3CDTF">2026-08-03T13:52:07Z</dcterms:created>
  <dcterms:modified xsi:type="dcterms:W3CDTF">2026-08-11T11:48:58Z</dcterms:modified>
</cp:coreProperties>
</file>